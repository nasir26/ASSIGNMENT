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CHRISTIAN - LABORATORY DOCUMENTS\WCIL - Corrosion\"/>
    </mc:Choice>
  </mc:AlternateContent>
  <xr:revisionPtr revIDLastSave="0" documentId="13_ncr:1_{8DF5B499-9FDF-41BC-8202-4428D3EA818E}" xr6:coauthVersionLast="47" xr6:coauthVersionMax="47" xr10:uidLastSave="{00000000-0000-0000-0000-000000000000}"/>
  <bookViews>
    <workbookView xWindow="-108" yWindow="-108" windowWidth="23256" windowHeight="12456" firstSheet="1" activeTab="5" xr2:uid="{00000000-000D-0000-FFFF-FFFF00000000}"/>
  </bookViews>
  <sheets>
    <sheet name="Received List" sheetId="1" r:id="rId1"/>
    <sheet name="Results List - Various" sheetId="6" r:id="rId2"/>
    <sheet name="Results List - PS2" sheetId="4" r:id="rId3"/>
    <sheet name="Results List - Halul &amp; PS3" sheetId="3" r:id="rId4"/>
    <sheet name="Results List - PS4" sheetId="5" r:id="rId5"/>
    <sheet name="Results List - PS1" sheetId="7" r:id="rId6"/>
  </sheets>
  <definedNames>
    <definedName name="_xlnm._FilterDatabase" localSheetId="5" hidden="1">'Results List - PS1'!$A$3:$M$3</definedName>
    <definedName name="_xlnm.Print_Area" localSheetId="4">'Results List - PS4'!$A$8:$Y$71</definedName>
    <definedName name="_xlnm.Print_Area" localSheetId="1">'Results List - Various'!$A$2:$AA$61</definedName>
    <definedName name="_xlnm.Print_Titles" localSheetId="5">'Results List - PS1'!$1:$3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7" l="1"/>
  <c r="V171" i="3"/>
  <c r="T171" i="3"/>
  <c r="S171" i="3"/>
  <c r="V79" i="7"/>
  <c r="U79" i="7"/>
  <c r="T79" i="7"/>
  <c r="S79" i="7"/>
  <c r="X5" i="7"/>
  <c r="X71" i="7"/>
  <c r="X70" i="7"/>
  <c r="X57" i="7"/>
  <c r="X56" i="7"/>
  <c r="X51" i="7"/>
  <c r="X50" i="7"/>
  <c r="X49" i="7"/>
  <c r="Y49" i="7" s="1"/>
  <c r="X48" i="7"/>
  <c r="X40" i="7"/>
  <c r="X39" i="7"/>
  <c r="X35" i="7"/>
  <c r="X33" i="7"/>
  <c r="X32" i="7"/>
  <c r="X22" i="7"/>
  <c r="X21" i="7"/>
  <c r="X19" i="7"/>
  <c r="X18" i="7"/>
  <c r="X15" i="7"/>
  <c r="X14" i="7"/>
  <c r="X9" i="7"/>
  <c r="X8" i="7"/>
  <c r="T74" i="7"/>
  <c r="U74" i="7" s="1"/>
  <c r="T73" i="7"/>
  <c r="U73" i="7" s="1"/>
  <c r="V73" i="7" s="1"/>
  <c r="T71" i="7"/>
  <c r="U71" i="7" s="1"/>
  <c r="T70" i="7"/>
  <c r="U70" i="7" s="1"/>
  <c r="T66" i="7"/>
  <c r="U66" i="7" s="1"/>
  <c r="T65" i="7"/>
  <c r="U65" i="7" s="1"/>
  <c r="T64" i="7"/>
  <c r="U64" i="7" s="1"/>
  <c r="T63" i="7"/>
  <c r="U63" i="7" s="1"/>
  <c r="T62" i="7"/>
  <c r="U62" i="7" s="1"/>
  <c r="T61" i="7"/>
  <c r="U61" i="7" s="1"/>
  <c r="U47" i="7"/>
  <c r="T45" i="7"/>
  <c r="U45" i="7" s="1"/>
  <c r="T44" i="7"/>
  <c r="U44" i="7" s="1"/>
  <c r="T47" i="7"/>
  <c r="T48" i="7"/>
  <c r="U48" i="7" s="1"/>
  <c r="T49" i="7"/>
  <c r="U49" i="7" s="1"/>
  <c r="T50" i="7"/>
  <c r="U50" i="7" s="1"/>
  <c r="T51" i="7"/>
  <c r="U51" i="7" s="1"/>
  <c r="T52" i="7"/>
  <c r="U52" i="7" s="1"/>
  <c r="T53" i="7"/>
  <c r="U53" i="7" s="1"/>
  <c r="T54" i="7"/>
  <c r="U54" i="7" s="1"/>
  <c r="T55" i="7"/>
  <c r="U55" i="7" s="1"/>
  <c r="T56" i="7"/>
  <c r="U56" i="7" s="1"/>
  <c r="T57" i="7"/>
  <c r="U57" i="7" s="1"/>
  <c r="T58" i="7"/>
  <c r="U58" i="7" s="1"/>
  <c r="T59" i="7"/>
  <c r="U59" i="7" s="1"/>
  <c r="T46" i="7"/>
  <c r="U46" i="7" s="1"/>
  <c r="U24" i="7"/>
  <c r="T43" i="7"/>
  <c r="U43" i="7" s="1"/>
  <c r="T42" i="7"/>
  <c r="U42" i="7" s="1"/>
  <c r="T40" i="7"/>
  <c r="U40" i="7" s="1"/>
  <c r="T39" i="7"/>
  <c r="U39" i="7" s="1"/>
  <c r="T38" i="7"/>
  <c r="U38" i="7" s="1"/>
  <c r="T37" i="7"/>
  <c r="U37" i="7" s="1"/>
  <c r="T35" i="7"/>
  <c r="U35" i="7" s="1"/>
  <c r="T33" i="7"/>
  <c r="U33" i="7" s="1"/>
  <c r="T32" i="7"/>
  <c r="U32" i="7" s="1"/>
  <c r="T30" i="7"/>
  <c r="U30" i="7" s="1"/>
  <c r="T29" i="7"/>
  <c r="U29" i="7" s="1"/>
  <c r="T25" i="7"/>
  <c r="U25" i="7" s="1"/>
  <c r="T26" i="7"/>
  <c r="U26" i="7" s="1"/>
  <c r="T27" i="7"/>
  <c r="U27" i="7" s="1"/>
  <c r="T24" i="7"/>
  <c r="V11" i="5"/>
  <c r="T22" i="7"/>
  <c r="U22" i="7" s="1"/>
  <c r="T21" i="7"/>
  <c r="U21" i="7" s="1"/>
  <c r="T18" i="7"/>
  <c r="U18" i="7" s="1"/>
  <c r="T19" i="7"/>
  <c r="U19" i="7" s="1"/>
  <c r="T17" i="7"/>
  <c r="U17" i="7" s="1"/>
  <c r="S17" i="7"/>
  <c r="T14" i="7"/>
  <c r="U14" i="7" s="1"/>
  <c r="V14" i="7" s="1"/>
  <c r="T15" i="7"/>
  <c r="U15" i="7" s="1"/>
  <c r="T9" i="7"/>
  <c r="U9" i="7" s="1"/>
  <c r="T10" i="7"/>
  <c r="U10" i="7" s="1"/>
  <c r="T11" i="7"/>
  <c r="U11" i="7" s="1"/>
  <c r="V11" i="7" s="1"/>
  <c r="T12" i="7"/>
  <c r="U12" i="7" s="1"/>
  <c r="T13" i="7"/>
  <c r="U13" i="7" s="1"/>
  <c r="T6" i="7"/>
  <c r="U6" i="7" s="1"/>
  <c r="T5" i="7"/>
  <c r="U5" i="7" s="1"/>
  <c r="T8" i="7"/>
  <c r="U8" i="7" s="1"/>
  <c r="S6" i="7"/>
  <c r="S5" i="7"/>
  <c r="S19" i="7"/>
  <c r="S18" i="7"/>
  <c r="S15" i="7"/>
  <c r="S14" i="7"/>
  <c r="S13" i="7"/>
  <c r="S12" i="7"/>
  <c r="S11" i="7"/>
  <c r="S10" i="7"/>
  <c r="S9" i="7"/>
  <c r="S8" i="7"/>
  <c r="S21" i="7"/>
  <c r="Y21" i="7" s="1"/>
  <c r="S22" i="7"/>
  <c r="S24" i="7"/>
  <c r="S25" i="7"/>
  <c r="S26" i="7"/>
  <c r="S27" i="7"/>
  <c r="S30" i="7"/>
  <c r="S29" i="7"/>
  <c r="S33" i="7"/>
  <c r="Y33" i="7" s="1"/>
  <c r="S32" i="7"/>
  <c r="S35" i="7"/>
  <c r="S40" i="7"/>
  <c r="S39" i="7"/>
  <c r="S38" i="7"/>
  <c r="S37" i="7"/>
  <c r="S59" i="7"/>
  <c r="S58" i="7"/>
  <c r="S57" i="7"/>
  <c r="S56" i="7"/>
  <c r="S55" i="7"/>
  <c r="S54" i="7"/>
  <c r="S53" i="7"/>
  <c r="S52" i="7"/>
  <c r="S51" i="7"/>
  <c r="S50" i="7"/>
  <c r="S49" i="7"/>
  <c r="S48" i="7"/>
  <c r="S47" i="7"/>
  <c r="S46" i="7"/>
  <c r="S45" i="7"/>
  <c r="S44" i="7"/>
  <c r="S43" i="7"/>
  <c r="S42" i="7"/>
  <c r="S66" i="7"/>
  <c r="S65" i="7"/>
  <c r="S64" i="7"/>
  <c r="S63" i="7"/>
  <c r="S62" i="7"/>
  <c r="S61" i="7"/>
  <c r="S71" i="7"/>
  <c r="S70" i="7"/>
  <c r="S68" i="7"/>
  <c r="V38" i="6"/>
  <c r="V37" i="6"/>
  <c r="V49" i="6"/>
  <c r="V47" i="6"/>
  <c r="Y47" i="6"/>
  <c r="Y53" i="6"/>
  <c r="Y52" i="6"/>
  <c r="Y49" i="6"/>
  <c r="Y45" i="6"/>
  <c r="Y44" i="6"/>
  <c r="Y43" i="6"/>
  <c r="Y42" i="6"/>
  <c r="Y38" i="6"/>
  <c r="Y37" i="6"/>
  <c r="Y36" i="6"/>
  <c r="Y35" i="6"/>
  <c r="Y34" i="6"/>
  <c r="Y33" i="6"/>
  <c r="Y32" i="6"/>
  <c r="Y31" i="6"/>
  <c r="Y30" i="6"/>
  <c r="Y29" i="6"/>
  <c r="Y27" i="6"/>
  <c r="Y25" i="6"/>
  <c r="Y24" i="6"/>
  <c r="Y23" i="6"/>
  <c r="Y22" i="6"/>
  <c r="Y21" i="6"/>
  <c r="Y20" i="6"/>
  <c r="Y19" i="6"/>
  <c r="Y18" i="6"/>
  <c r="Y17" i="6"/>
  <c r="Y16" i="6"/>
  <c r="Y15" i="6"/>
  <c r="Y14" i="6"/>
  <c r="Y13" i="6"/>
  <c r="Y12" i="6"/>
  <c r="Y11" i="6"/>
  <c r="Y10" i="6"/>
  <c r="Y9" i="6"/>
  <c r="U38" i="6"/>
  <c r="U37" i="6"/>
  <c r="T37" i="6"/>
  <c r="S37" i="6"/>
  <c r="S38" i="6"/>
  <c r="S36" i="6"/>
  <c r="V25" i="6"/>
  <c r="V29" i="6"/>
  <c r="V30" i="6"/>
  <c r="V31" i="6"/>
  <c r="V32" i="6"/>
  <c r="V33" i="6"/>
  <c r="V34" i="6"/>
  <c r="V35" i="6"/>
  <c r="V36" i="6"/>
  <c r="T30" i="6"/>
  <c r="U30" i="6" s="1"/>
  <c r="T31" i="6"/>
  <c r="T32" i="6"/>
  <c r="U32" i="6" s="1"/>
  <c r="T33" i="6"/>
  <c r="U33" i="6" s="1"/>
  <c r="T34" i="6"/>
  <c r="T35" i="6"/>
  <c r="T36" i="6"/>
  <c r="T38" i="6"/>
  <c r="T29" i="6"/>
  <c r="U29" i="6" s="1"/>
  <c r="T25" i="6"/>
  <c r="T27" i="6"/>
  <c r="U27" i="6" s="1"/>
  <c r="T23" i="6"/>
  <c r="U23" i="6" s="1"/>
  <c r="T24" i="6"/>
  <c r="U24" i="6" s="1"/>
  <c r="S23" i="6"/>
  <c r="S24" i="6"/>
  <c r="T17" i="6"/>
  <c r="U17" i="6" s="1"/>
  <c r="T18" i="6"/>
  <c r="U18" i="6" s="1"/>
  <c r="S17" i="6"/>
  <c r="S18" i="6"/>
  <c r="V16" i="6"/>
  <c r="U52" i="6"/>
  <c r="V52" i="6" s="1"/>
  <c r="T10" i="6"/>
  <c r="U10" i="6" s="1"/>
  <c r="V10" i="6" s="1"/>
  <c r="T11" i="6"/>
  <c r="U11" i="6" s="1"/>
  <c r="V11" i="6" s="1"/>
  <c r="T12" i="6"/>
  <c r="U12" i="6" s="1"/>
  <c r="V12" i="6" s="1"/>
  <c r="T13" i="6"/>
  <c r="U13" i="6" s="1"/>
  <c r="V13" i="6" s="1"/>
  <c r="T14" i="6"/>
  <c r="U14" i="6" s="1"/>
  <c r="V14" i="6" s="1"/>
  <c r="T15" i="6"/>
  <c r="U15" i="6" s="1"/>
  <c r="V15" i="6" s="1"/>
  <c r="T16" i="6"/>
  <c r="U16" i="6" s="1"/>
  <c r="T19" i="6"/>
  <c r="U19" i="6" s="1"/>
  <c r="V19" i="6" s="1"/>
  <c r="T20" i="6"/>
  <c r="U20" i="6" s="1"/>
  <c r="V20" i="6" s="1"/>
  <c r="T21" i="6"/>
  <c r="U21" i="6" s="1"/>
  <c r="V21" i="6" s="1"/>
  <c r="T22" i="6"/>
  <c r="U22" i="6" s="1"/>
  <c r="V22" i="6" s="1"/>
  <c r="U25" i="6"/>
  <c r="U31" i="6"/>
  <c r="U34" i="6"/>
  <c r="U35" i="6"/>
  <c r="U36" i="6"/>
  <c r="T42" i="6"/>
  <c r="U42" i="6" s="1"/>
  <c r="V42" i="6" s="1"/>
  <c r="T43" i="6"/>
  <c r="U43" i="6" s="1"/>
  <c r="V43" i="6" s="1"/>
  <c r="T44" i="6"/>
  <c r="U44" i="6" s="1"/>
  <c r="V44" i="6" s="1"/>
  <c r="T45" i="6"/>
  <c r="U45" i="6" s="1"/>
  <c r="V45" i="6" s="1"/>
  <c r="T47" i="6"/>
  <c r="U47" i="6" s="1"/>
  <c r="T49" i="6"/>
  <c r="U49" i="6" s="1"/>
  <c r="T52" i="6"/>
  <c r="T53" i="6"/>
  <c r="U53" i="6" s="1"/>
  <c r="V53" i="6" s="1"/>
  <c r="S10" i="6"/>
  <c r="S11" i="6"/>
  <c r="S12" i="6"/>
  <c r="S13" i="6"/>
  <c r="S14" i="6"/>
  <c r="S15" i="6"/>
  <c r="S16" i="6"/>
  <c r="S19" i="6"/>
  <c r="S20" i="6"/>
  <c r="S21" i="6"/>
  <c r="S22" i="6"/>
  <c r="S25" i="6"/>
  <c r="S27" i="6"/>
  <c r="S29" i="6"/>
  <c r="S30" i="6"/>
  <c r="S31" i="6"/>
  <c r="S32" i="6"/>
  <c r="S33" i="6"/>
  <c r="S34" i="6"/>
  <c r="S35" i="6"/>
  <c r="S42" i="6"/>
  <c r="S43" i="6"/>
  <c r="S44" i="6"/>
  <c r="S45" i="6"/>
  <c r="S47" i="6"/>
  <c r="S49" i="6"/>
  <c r="S52" i="6"/>
  <c r="S53" i="6"/>
  <c r="T9" i="6"/>
  <c r="U9" i="6" s="1"/>
  <c r="V9" i="6" s="1"/>
  <c r="S9" i="6"/>
  <c r="T6" i="6"/>
  <c r="T5" i="6"/>
  <c r="T4" i="6"/>
  <c r="S29" i="5"/>
  <c r="Y29" i="5" s="1"/>
  <c r="Y70" i="5"/>
  <c r="Y65" i="5"/>
  <c r="Y62" i="5"/>
  <c r="Y52" i="5"/>
  <c r="Y53" i="5"/>
  <c r="Y54" i="5"/>
  <c r="Y55" i="5"/>
  <c r="Y51" i="5"/>
  <c r="Y45" i="5"/>
  <c r="Y30" i="5"/>
  <c r="Y31" i="5"/>
  <c r="Y32" i="5"/>
  <c r="Y33" i="5"/>
  <c r="Y34" i="5"/>
  <c r="Y35" i="5"/>
  <c r="Y38" i="5"/>
  <c r="Y39" i="5"/>
  <c r="Y40" i="5"/>
  <c r="Y41" i="5"/>
  <c r="Y42" i="5"/>
  <c r="Y43" i="5"/>
  <c r="Y44" i="5"/>
  <c r="Y28" i="5"/>
  <c r="Y12" i="5"/>
  <c r="Y15" i="5"/>
  <c r="Y16" i="5"/>
  <c r="Y19" i="5"/>
  <c r="Y20" i="5"/>
  <c r="Y21" i="5"/>
  <c r="Y22" i="5"/>
  <c r="Y23" i="5"/>
  <c r="Y24" i="5"/>
  <c r="Y25" i="5"/>
  <c r="Y26" i="5"/>
  <c r="Y11" i="5"/>
  <c r="S57" i="5"/>
  <c r="S55" i="5"/>
  <c r="S51" i="5"/>
  <c r="S52" i="5"/>
  <c r="S53" i="5"/>
  <c r="S54" i="5"/>
  <c r="S47" i="5"/>
  <c r="T47" i="5"/>
  <c r="U47" i="5" s="1"/>
  <c r="S28" i="5"/>
  <c r="S12" i="5"/>
  <c r="S13" i="5"/>
  <c r="S14" i="5"/>
  <c r="S15" i="5"/>
  <c r="S16" i="5"/>
  <c r="S17" i="5"/>
  <c r="S18" i="5"/>
  <c r="S19" i="5"/>
  <c r="S20" i="5"/>
  <c r="S21" i="5"/>
  <c r="S22" i="5"/>
  <c r="S23" i="5"/>
  <c r="S24" i="5"/>
  <c r="S25" i="5"/>
  <c r="S26" i="5"/>
  <c r="S11" i="5"/>
  <c r="T71" i="5"/>
  <c r="U71" i="5" s="1"/>
  <c r="S71" i="5"/>
  <c r="T70" i="5"/>
  <c r="U70" i="5" s="1"/>
  <c r="S70" i="5"/>
  <c r="T65" i="5"/>
  <c r="U65" i="5" s="1"/>
  <c r="S65" i="5"/>
  <c r="T62" i="5"/>
  <c r="U62" i="5" s="1"/>
  <c r="S62" i="5"/>
  <c r="T57" i="5"/>
  <c r="U57" i="5" s="1"/>
  <c r="T55" i="5"/>
  <c r="U55" i="5" s="1"/>
  <c r="T54" i="5"/>
  <c r="U54" i="5" s="1"/>
  <c r="T53" i="5"/>
  <c r="U53" i="5" s="1"/>
  <c r="T52" i="5"/>
  <c r="U52" i="5" s="1"/>
  <c r="T51" i="5"/>
  <c r="U51" i="5" s="1"/>
  <c r="T50" i="5"/>
  <c r="U50" i="5" s="1"/>
  <c r="S50" i="5"/>
  <c r="U49" i="5"/>
  <c r="T49" i="5"/>
  <c r="S49" i="5"/>
  <c r="T45" i="5"/>
  <c r="U45" i="5" s="1"/>
  <c r="S45" i="5"/>
  <c r="T44" i="5"/>
  <c r="U44" i="5" s="1"/>
  <c r="S44" i="5"/>
  <c r="T43" i="5"/>
  <c r="U43" i="5" s="1"/>
  <c r="S43" i="5"/>
  <c r="T42" i="5"/>
  <c r="U42" i="5" s="1"/>
  <c r="S42" i="5"/>
  <c r="T41" i="5"/>
  <c r="U41" i="5" s="1"/>
  <c r="S41" i="5"/>
  <c r="T40" i="5"/>
  <c r="U40" i="5" s="1"/>
  <c r="S40" i="5"/>
  <c r="T39" i="5"/>
  <c r="U39" i="5" s="1"/>
  <c r="S39" i="5"/>
  <c r="T38" i="5"/>
  <c r="U38" i="5" s="1"/>
  <c r="S38" i="5"/>
  <c r="T37" i="5"/>
  <c r="U37" i="5" s="1"/>
  <c r="S37" i="5"/>
  <c r="T36" i="5"/>
  <c r="U36" i="5" s="1"/>
  <c r="S36" i="5"/>
  <c r="T35" i="5"/>
  <c r="U35" i="5" s="1"/>
  <c r="S35" i="5"/>
  <c r="T34" i="5"/>
  <c r="U34" i="5" s="1"/>
  <c r="S34" i="5"/>
  <c r="T33" i="5"/>
  <c r="U33" i="5" s="1"/>
  <c r="S33" i="5"/>
  <c r="T32" i="5"/>
  <c r="U32" i="5" s="1"/>
  <c r="S32" i="5"/>
  <c r="T31" i="5"/>
  <c r="U31" i="5" s="1"/>
  <c r="S31" i="5"/>
  <c r="T30" i="5"/>
  <c r="U30" i="5" s="1"/>
  <c r="S30" i="5"/>
  <c r="T29" i="5"/>
  <c r="U29" i="5" s="1"/>
  <c r="T28" i="5"/>
  <c r="U28" i="5" s="1"/>
  <c r="T26" i="5"/>
  <c r="U26" i="5" s="1"/>
  <c r="T25" i="5"/>
  <c r="U25" i="5" s="1"/>
  <c r="T24" i="5"/>
  <c r="U24" i="5" s="1"/>
  <c r="T23" i="5"/>
  <c r="U23" i="5" s="1"/>
  <c r="T22" i="5"/>
  <c r="U22" i="5" s="1"/>
  <c r="T21" i="5"/>
  <c r="U21" i="5" s="1"/>
  <c r="T20" i="5"/>
  <c r="U20" i="5" s="1"/>
  <c r="T19" i="5"/>
  <c r="U19" i="5" s="1"/>
  <c r="T18" i="5"/>
  <c r="U18" i="5" s="1"/>
  <c r="U17" i="5"/>
  <c r="T17" i="5"/>
  <c r="T16" i="5"/>
  <c r="U16" i="5" s="1"/>
  <c r="T15" i="5"/>
  <c r="U15" i="5" s="1"/>
  <c r="T14" i="5"/>
  <c r="U14" i="5" s="1"/>
  <c r="T13" i="5"/>
  <c r="U13" i="5" s="1"/>
  <c r="T12" i="5"/>
  <c r="U12" i="5" s="1"/>
  <c r="T11" i="5"/>
  <c r="U11" i="5" s="1"/>
  <c r="T10" i="5"/>
  <c r="U10" i="5" s="1"/>
  <c r="S10" i="5"/>
  <c r="T9" i="5"/>
  <c r="U9" i="5" s="1"/>
  <c r="S9" i="5"/>
  <c r="U118" i="3"/>
  <c r="U120" i="3"/>
  <c r="V120" i="3" s="1"/>
  <c r="U116" i="3"/>
  <c r="V116" i="3" s="1"/>
  <c r="U109" i="3"/>
  <c r="U108" i="3"/>
  <c r="T6" i="5"/>
  <c r="T5" i="5"/>
  <c r="T4" i="5"/>
  <c r="Y32" i="4"/>
  <c r="Y40" i="4"/>
  <c r="Y41" i="4"/>
  <c r="Y19" i="4"/>
  <c r="Y17" i="4"/>
  <c r="Y16" i="4"/>
  <c r="T43" i="4"/>
  <c r="T10" i="4"/>
  <c r="U10" i="4" s="1"/>
  <c r="V10" i="4" s="1"/>
  <c r="S10" i="4"/>
  <c r="T9" i="4"/>
  <c r="U9" i="4" s="1"/>
  <c r="S9" i="4"/>
  <c r="T88" i="4"/>
  <c r="U88" i="4" s="1"/>
  <c r="V88" i="4" s="1"/>
  <c r="U87" i="4"/>
  <c r="V87" i="4" s="1"/>
  <c r="T21" i="4"/>
  <c r="U21" i="4" s="1"/>
  <c r="S21" i="4"/>
  <c r="T20" i="4"/>
  <c r="U20" i="4" s="1"/>
  <c r="S20" i="4"/>
  <c r="T19" i="4"/>
  <c r="U19" i="4" s="1"/>
  <c r="S19" i="4"/>
  <c r="T18" i="4"/>
  <c r="U18" i="4" s="1"/>
  <c r="S18" i="4"/>
  <c r="T17" i="4"/>
  <c r="U17" i="4" s="1"/>
  <c r="S17" i="4"/>
  <c r="T16" i="4"/>
  <c r="U16" i="4" s="1"/>
  <c r="S16" i="4"/>
  <c r="T15" i="4"/>
  <c r="U15" i="4" s="1"/>
  <c r="S15" i="4"/>
  <c r="T14" i="4"/>
  <c r="U14" i="4" s="1"/>
  <c r="S14" i="4"/>
  <c r="T13" i="4"/>
  <c r="U13" i="4" s="1"/>
  <c r="V13" i="4" s="1"/>
  <c r="S13" i="4"/>
  <c r="T94" i="4"/>
  <c r="U94" i="4" s="1"/>
  <c r="S94" i="4"/>
  <c r="T93" i="4"/>
  <c r="U93" i="4" s="1"/>
  <c r="S93" i="4"/>
  <c r="T92" i="4"/>
  <c r="U92" i="4" s="1"/>
  <c r="S92" i="4"/>
  <c r="T91" i="4"/>
  <c r="U91" i="4" s="1"/>
  <c r="S91" i="4"/>
  <c r="S88" i="4"/>
  <c r="T87" i="4"/>
  <c r="S87" i="4"/>
  <c r="T85" i="4"/>
  <c r="U85" i="4" s="1"/>
  <c r="S85" i="4"/>
  <c r="T84" i="4"/>
  <c r="U84" i="4" s="1"/>
  <c r="S84" i="4"/>
  <c r="T83" i="4"/>
  <c r="U83" i="4" s="1"/>
  <c r="S83" i="4"/>
  <c r="T82" i="4"/>
  <c r="U82" i="4" s="1"/>
  <c r="S82" i="4"/>
  <c r="T80" i="4"/>
  <c r="U80" i="4" s="1"/>
  <c r="V80" i="4" s="1"/>
  <c r="S80" i="4"/>
  <c r="T79" i="4"/>
  <c r="U79" i="4" s="1"/>
  <c r="S79" i="4"/>
  <c r="T78" i="4"/>
  <c r="U78" i="4" s="1"/>
  <c r="S78" i="4"/>
  <c r="T77" i="4"/>
  <c r="U77" i="4" s="1"/>
  <c r="S77" i="4"/>
  <c r="T67" i="4"/>
  <c r="U67" i="4" s="1"/>
  <c r="S67" i="4"/>
  <c r="T66" i="4"/>
  <c r="U66" i="4" s="1"/>
  <c r="S66" i="4"/>
  <c r="T65" i="4"/>
  <c r="U65" i="4" s="1"/>
  <c r="S65" i="4"/>
  <c r="T64" i="4"/>
  <c r="U64" i="4" s="1"/>
  <c r="S64" i="4"/>
  <c r="T63" i="4"/>
  <c r="U63" i="4" s="1"/>
  <c r="S63" i="4"/>
  <c r="T62" i="4"/>
  <c r="U62" i="4" s="1"/>
  <c r="S62" i="4"/>
  <c r="T51" i="4"/>
  <c r="U51" i="4" s="1"/>
  <c r="S51" i="4"/>
  <c r="T50" i="4"/>
  <c r="U50" i="4" s="1"/>
  <c r="S50" i="4"/>
  <c r="T45" i="4"/>
  <c r="U45" i="4" s="1"/>
  <c r="S45" i="4"/>
  <c r="T44" i="4"/>
  <c r="U44" i="4" s="1"/>
  <c r="S44" i="4"/>
  <c r="U43" i="4"/>
  <c r="V43" i="4" s="1"/>
  <c r="S43" i="4"/>
  <c r="T42" i="4"/>
  <c r="U42" i="4" s="1"/>
  <c r="S42" i="4"/>
  <c r="T41" i="4"/>
  <c r="U41" i="4" s="1"/>
  <c r="S41" i="4"/>
  <c r="T40" i="4"/>
  <c r="U40" i="4" s="1"/>
  <c r="S40" i="4"/>
  <c r="T38" i="4"/>
  <c r="U38" i="4" s="1"/>
  <c r="S38" i="4"/>
  <c r="T37" i="4"/>
  <c r="U37" i="4" s="1"/>
  <c r="S37" i="4"/>
  <c r="T35" i="4"/>
  <c r="U35" i="4" s="1"/>
  <c r="S35" i="4"/>
  <c r="T34" i="4"/>
  <c r="U34" i="4" s="1"/>
  <c r="S34" i="4"/>
  <c r="T32" i="4"/>
  <c r="U32" i="4" s="1"/>
  <c r="S32" i="4"/>
  <c r="T31" i="4"/>
  <c r="U31" i="4" s="1"/>
  <c r="S31" i="4"/>
  <c r="T30" i="4"/>
  <c r="U30" i="4" s="1"/>
  <c r="S30" i="4"/>
  <c r="T28" i="4"/>
  <c r="U28" i="4" s="1"/>
  <c r="S28" i="4"/>
  <c r="T27" i="4"/>
  <c r="U27" i="4" s="1"/>
  <c r="S27" i="4"/>
  <c r="T26" i="4"/>
  <c r="U26" i="4" s="1"/>
  <c r="S26" i="4"/>
  <c r="T24" i="4"/>
  <c r="U24" i="4" s="1"/>
  <c r="S24" i="4"/>
  <c r="T23" i="4"/>
  <c r="U23" i="4" s="1"/>
  <c r="S23" i="4"/>
  <c r="T12" i="4"/>
  <c r="U12" i="4" s="1"/>
  <c r="S12" i="4"/>
  <c r="T6" i="4"/>
  <c r="T5" i="4"/>
  <c r="T4" i="4"/>
  <c r="V31" i="3"/>
  <c r="V32" i="3"/>
  <c r="S32" i="3"/>
  <c r="T32" i="3"/>
  <c r="U32" i="3" s="1"/>
  <c r="S31" i="3"/>
  <c r="T31" i="3"/>
  <c r="U31" i="3" s="1"/>
  <c r="V27" i="3"/>
  <c r="S27" i="3"/>
  <c r="T27" i="3"/>
  <c r="U27" i="3" s="1"/>
  <c r="S26" i="3"/>
  <c r="V26" i="3" s="1"/>
  <c r="T26" i="3"/>
  <c r="U26" i="3"/>
  <c r="T169" i="3"/>
  <c r="T168" i="3"/>
  <c r="T167" i="3"/>
  <c r="U167" i="3" s="1"/>
  <c r="V167" i="3" s="1"/>
  <c r="T166" i="3"/>
  <c r="T165" i="3"/>
  <c r="T164" i="3"/>
  <c r="T163" i="3"/>
  <c r="T162" i="3"/>
  <c r="U162" i="3" s="1"/>
  <c r="V162" i="3" s="1"/>
  <c r="T161" i="3"/>
  <c r="U161" i="3" s="1"/>
  <c r="V161" i="3" s="1"/>
  <c r="T160" i="3"/>
  <c r="U160" i="3" s="1"/>
  <c r="V160" i="3" s="1"/>
  <c r="T158" i="3"/>
  <c r="T157" i="3"/>
  <c r="T154" i="3"/>
  <c r="T151" i="3"/>
  <c r="T155" i="3"/>
  <c r="U155" i="3" s="1"/>
  <c r="V155" i="3" s="1"/>
  <c r="U154" i="3"/>
  <c r="V154" i="3" s="1"/>
  <c r="T153" i="3"/>
  <c r="U153" i="3" s="1"/>
  <c r="V153" i="3" s="1"/>
  <c r="T152" i="3"/>
  <c r="T150" i="3"/>
  <c r="T148" i="3"/>
  <c r="T147" i="3"/>
  <c r="U147" i="3" s="1"/>
  <c r="T146" i="3"/>
  <c r="U146" i="3" s="1"/>
  <c r="T145" i="3"/>
  <c r="T144" i="3"/>
  <c r="T143" i="3"/>
  <c r="U143" i="3" s="1"/>
  <c r="T142" i="3"/>
  <c r="U142" i="3" s="1"/>
  <c r="T141" i="3"/>
  <c r="U141" i="3" s="1"/>
  <c r="T140" i="3"/>
  <c r="U140" i="3" s="1"/>
  <c r="T139" i="3"/>
  <c r="U139" i="3" s="1"/>
  <c r="T138" i="3"/>
  <c r="U138" i="3" s="1"/>
  <c r="T137" i="3"/>
  <c r="U137" i="3" s="1"/>
  <c r="T136" i="3"/>
  <c r="U136" i="3" s="1"/>
  <c r="T135" i="3"/>
  <c r="T134" i="3"/>
  <c r="T133" i="3"/>
  <c r="U133" i="3" s="1"/>
  <c r="T132" i="3"/>
  <c r="U132" i="3" s="1"/>
  <c r="T131" i="3"/>
  <c r="U131" i="3" s="1"/>
  <c r="T130" i="3"/>
  <c r="U130" i="3" s="1"/>
  <c r="T129" i="3"/>
  <c r="U129" i="3" s="1"/>
  <c r="T128" i="3"/>
  <c r="T127" i="3"/>
  <c r="U127" i="3" s="1"/>
  <c r="T126" i="3"/>
  <c r="U126" i="3" s="1"/>
  <c r="T125" i="3"/>
  <c r="U125" i="3"/>
  <c r="T122" i="3"/>
  <c r="U122" i="3" s="1"/>
  <c r="V122" i="3" s="1"/>
  <c r="T120" i="3"/>
  <c r="T118" i="3"/>
  <c r="T116" i="3"/>
  <c r="T17" i="3"/>
  <c r="T13" i="3"/>
  <c r="T12" i="3"/>
  <c r="U12" i="3" s="1"/>
  <c r="V12" i="3" s="1"/>
  <c r="T10" i="3"/>
  <c r="U10" i="3" s="1"/>
  <c r="V10" i="3" s="1"/>
  <c r="T9" i="3"/>
  <c r="T114" i="3"/>
  <c r="U114" i="3" s="1"/>
  <c r="V114" i="3" s="1"/>
  <c r="T113" i="3"/>
  <c r="U113" i="3" s="1"/>
  <c r="V113" i="3" s="1"/>
  <c r="T112" i="3"/>
  <c r="U112" i="3" s="1"/>
  <c r="V112" i="3" s="1"/>
  <c r="T111" i="3"/>
  <c r="U111" i="3" s="1"/>
  <c r="V111" i="3" s="1"/>
  <c r="T109" i="3"/>
  <c r="T108" i="3"/>
  <c r="T103" i="3"/>
  <c r="U103" i="3" s="1"/>
  <c r="V103" i="3" s="1"/>
  <c r="T102" i="3"/>
  <c r="U102" i="3" s="1"/>
  <c r="V102" i="3" s="1"/>
  <c r="T101" i="3"/>
  <c r="T100" i="3"/>
  <c r="T99" i="3"/>
  <c r="T98" i="3"/>
  <c r="T97" i="3"/>
  <c r="T96" i="3"/>
  <c r="T92" i="3"/>
  <c r="U92" i="3" s="1"/>
  <c r="V92" i="3" s="1"/>
  <c r="T91" i="3"/>
  <c r="U91" i="3" s="1"/>
  <c r="V91" i="3" s="1"/>
  <c r="T89" i="3"/>
  <c r="U89" i="3" s="1"/>
  <c r="V89" i="3" s="1"/>
  <c r="T88" i="3"/>
  <c r="T87" i="3"/>
  <c r="U87" i="3" s="1"/>
  <c r="V87" i="3" s="1"/>
  <c r="T86" i="3"/>
  <c r="T85" i="3"/>
  <c r="T84" i="3"/>
  <c r="U84" i="3" s="1"/>
  <c r="V84" i="3" s="1"/>
  <c r="T82" i="3"/>
  <c r="T81" i="3"/>
  <c r="U81" i="3" s="1"/>
  <c r="V81" i="3" s="1"/>
  <c r="T77" i="3"/>
  <c r="U77" i="3" s="1"/>
  <c r="V77" i="3" s="1"/>
  <c r="T76" i="3"/>
  <c r="U76" i="3" s="1"/>
  <c r="V76" i="3" s="1"/>
  <c r="T75" i="3"/>
  <c r="U75" i="3" s="1"/>
  <c r="V75" i="3" s="1"/>
  <c r="T74" i="3"/>
  <c r="T73" i="3"/>
  <c r="T72" i="3"/>
  <c r="T71" i="3"/>
  <c r="T70" i="3"/>
  <c r="T67" i="3"/>
  <c r="U67" i="3" s="1"/>
  <c r="V67" i="3" s="1"/>
  <c r="T66" i="3"/>
  <c r="T65" i="3"/>
  <c r="U65" i="3" s="1"/>
  <c r="V65" i="3" s="1"/>
  <c r="T64" i="3"/>
  <c r="T61" i="3"/>
  <c r="T60" i="3"/>
  <c r="T43" i="3"/>
  <c r="U43" i="3" s="1"/>
  <c r="V43" i="3" s="1"/>
  <c r="T42" i="3"/>
  <c r="U42" i="3" s="1"/>
  <c r="V42" i="3" s="1"/>
  <c r="T40" i="3"/>
  <c r="U40" i="3" s="1"/>
  <c r="V40" i="3" s="1"/>
  <c r="T39" i="3"/>
  <c r="U39" i="3" s="1"/>
  <c r="V39" i="3" s="1"/>
  <c r="T37" i="3"/>
  <c r="U37" i="3" s="1"/>
  <c r="V37" i="3" s="1"/>
  <c r="T36" i="3"/>
  <c r="U36" i="3" s="1"/>
  <c r="V36" i="3" s="1"/>
  <c r="T30" i="3"/>
  <c r="T29" i="3"/>
  <c r="U29" i="3" s="1"/>
  <c r="V29" i="3" s="1"/>
  <c r="T28" i="3"/>
  <c r="U28" i="3" s="1"/>
  <c r="V28" i="3" s="1"/>
  <c r="T25" i="3"/>
  <c r="T24" i="3"/>
  <c r="T22" i="3"/>
  <c r="U22" i="3" s="1"/>
  <c r="V22" i="3" s="1"/>
  <c r="T21" i="3"/>
  <c r="U21" i="3" s="1"/>
  <c r="V21" i="3" s="1"/>
  <c r="T20" i="3"/>
  <c r="U20" i="3" s="1"/>
  <c r="V20" i="3" s="1"/>
  <c r="T19" i="3"/>
  <c r="U19" i="3" s="1"/>
  <c r="V19" i="3" s="1"/>
  <c r="T18" i="3"/>
  <c r="U13" i="3"/>
  <c r="V13" i="3" s="1"/>
  <c r="U9" i="3"/>
  <c r="V9" i="3" s="1"/>
  <c r="V73" i="3"/>
  <c r="V74" i="3"/>
  <c r="V96" i="3"/>
  <c r="V97" i="3"/>
  <c r="V98" i="3"/>
  <c r="V152" i="3"/>
  <c r="V158" i="3"/>
  <c r="V165" i="3"/>
  <c r="V166" i="3"/>
  <c r="V168" i="3"/>
  <c r="U17" i="3"/>
  <c r="V17" i="3" s="1"/>
  <c r="U18" i="3"/>
  <c r="V18" i="3" s="1"/>
  <c r="U24" i="3"/>
  <c r="V24" i="3" s="1"/>
  <c r="U25" i="3"/>
  <c r="V25" i="3" s="1"/>
  <c r="U30" i="3"/>
  <c r="V30" i="3" s="1"/>
  <c r="U60" i="3"/>
  <c r="V60" i="3" s="1"/>
  <c r="U61" i="3"/>
  <c r="V61" i="3" s="1"/>
  <c r="U64" i="3"/>
  <c r="V64" i="3" s="1"/>
  <c r="U66" i="3"/>
  <c r="V66" i="3" s="1"/>
  <c r="U70" i="3"/>
  <c r="V70" i="3" s="1"/>
  <c r="U71" i="3"/>
  <c r="V71" i="3" s="1"/>
  <c r="U72" i="3"/>
  <c r="V72" i="3" s="1"/>
  <c r="U73" i="3"/>
  <c r="U74" i="3"/>
  <c r="U82" i="3"/>
  <c r="V82" i="3" s="1"/>
  <c r="U85" i="3"/>
  <c r="V85" i="3" s="1"/>
  <c r="U86" i="3"/>
  <c r="V86" i="3" s="1"/>
  <c r="U88" i="3"/>
  <c r="V88" i="3" s="1"/>
  <c r="U94" i="3"/>
  <c r="U95" i="3"/>
  <c r="U96" i="3"/>
  <c r="U97" i="3"/>
  <c r="U98" i="3"/>
  <c r="U99" i="3"/>
  <c r="V99" i="3" s="1"/>
  <c r="U100" i="3"/>
  <c r="V100" i="3" s="1"/>
  <c r="U101" i="3"/>
  <c r="V101" i="3" s="1"/>
  <c r="U128" i="3"/>
  <c r="U134" i="3"/>
  <c r="U135" i="3"/>
  <c r="U144" i="3"/>
  <c r="U145" i="3"/>
  <c r="U148" i="3"/>
  <c r="U150" i="3"/>
  <c r="V150" i="3" s="1"/>
  <c r="U151" i="3"/>
  <c r="V151" i="3" s="1"/>
  <c r="U152" i="3"/>
  <c r="U157" i="3"/>
  <c r="V157" i="3" s="1"/>
  <c r="U158" i="3"/>
  <c r="U163" i="3"/>
  <c r="V163" i="3" s="1"/>
  <c r="U164" i="3"/>
  <c r="V164" i="3" s="1"/>
  <c r="U165" i="3"/>
  <c r="U166" i="3"/>
  <c r="U168" i="3"/>
  <c r="U169" i="3"/>
  <c r="V169" i="3" s="1"/>
  <c r="U171" i="3"/>
  <c r="T5" i="3"/>
  <c r="T6" i="3"/>
  <c r="T94" i="3"/>
  <c r="T95" i="3"/>
  <c r="T4" i="3"/>
  <c r="S122" i="3"/>
  <c r="S120" i="3"/>
  <c r="S118" i="3"/>
  <c r="S10" i="3"/>
  <c r="S12" i="3"/>
  <c r="S13" i="3"/>
  <c r="S17" i="3"/>
  <c r="S18" i="3"/>
  <c r="S19" i="3"/>
  <c r="S20" i="3"/>
  <c r="S21" i="3"/>
  <c r="S22" i="3"/>
  <c r="S24" i="3"/>
  <c r="S25" i="3"/>
  <c r="S28" i="3"/>
  <c r="S29" i="3"/>
  <c r="S30" i="3"/>
  <c r="S36" i="3"/>
  <c r="S37" i="3"/>
  <c r="S39" i="3"/>
  <c r="S40" i="3"/>
  <c r="S42" i="3"/>
  <c r="S43" i="3"/>
  <c r="S60" i="3"/>
  <c r="S61" i="3"/>
  <c r="S64" i="3"/>
  <c r="S65" i="3"/>
  <c r="S66" i="3"/>
  <c r="S67" i="3"/>
  <c r="S70" i="3"/>
  <c r="S71" i="3"/>
  <c r="S72" i="3"/>
  <c r="S73" i="3"/>
  <c r="S74" i="3"/>
  <c r="S75" i="3"/>
  <c r="S76" i="3"/>
  <c r="S77" i="3"/>
  <c r="S81" i="3"/>
  <c r="S82" i="3"/>
  <c r="S84" i="3"/>
  <c r="S85" i="3"/>
  <c r="S86" i="3"/>
  <c r="S87" i="3"/>
  <c r="S88" i="3"/>
  <c r="S89" i="3"/>
  <c r="S91" i="3"/>
  <c r="S92" i="3"/>
  <c r="S96" i="3"/>
  <c r="S97" i="3"/>
  <c r="S98" i="3"/>
  <c r="S99" i="3"/>
  <c r="S100" i="3"/>
  <c r="S101" i="3"/>
  <c r="S102" i="3"/>
  <c r="S103" i="3"/>
  <c r="S108" i="3"/>
  <c r="S109" i="3"/>
  <c r="S111" i="3"/>
  <c r="S112" i="3"/>
  <c r="S113" i="3"/>
  <c r="S114" i="3"/>
  <c r="S116" i="3"/>
  <c r="S125" i="3"/>
  <c r="S126" i="3"/>
  <c r="S127" i="3"/>
  <c r="S128" i="3"/>
  <c r="S129" i="3"/>
  <c r="S130" i="3"/>
  <c r="S131" i="3"/>
  <c r="S132" i="3"/>
  <c r="S133" i="3"/>
  <c r="S134" i="3"/>
  <c r="S135" i="3"/>
  <c r="S136" i="3"/>
  <c r="S137" i="3"/>
  <c r="S138" i="3"/>
  <c r="S139" i="3"/>
  <c r="S140" i="3"/>
  <c r="S141" i="3"/>
  <c r="S142" i="3"/>
  <c r="S143" i="3"/>
  <c r="S144" i="3"/>
  <c r="V144" i="3" s="1"/>
  <c r="S145" i="3"/>
  <c r="S146" i="3"/>
  <c r="S147" i="3"/>
  <c r="S148" i="3"/>
  <c r="S150" i="3"/>
  <c r="S151" i="3"/>
  <c r="S152" i="3"/>
  <c r="S153" i="3"/>
  <c r="S154" i="3"/>
  <c r="S155" i="3"/>
  <c r="S157" i="3"/>
  <c r="S158" i="3"/>
  <c r="S160" i="3"/>
  <c r="S161" i="3"/>
  <c r="S162" i="3"/>
  <c r="S163" i="3"/>
  <c r="S164" i="3"/>
  <c r="S165" i="3"/>
  <c r="S166" i="3"/>
  <c r="S167" i="3"/>
  <c r="S168" i="3"/>
  <c r="S169" i="3"/>
  <c r="S9" i="3"/>
  <c r="V47" i="7" l="1"/>
  <c r="Y40" i="7"/>
  <c r="V25" i="7"/>
  <c r="V57" i="7"/>
  <c r="V49" i="7"/>
  <c r="Y32" i="7"/>
  <c r="V55" i="7"/>
  <c r="V48" i="7"/>
  <c r="Y48" i="7"/>
  <c r="V52" i="7"/>
  <c r="Y56" i="7"/>
  <c r="V53" i="7"/>
  <c r="V45" i="7"/>
  <c r="Y8" i="7"/>
  <c r="Y51" i="7"/>
  <c r="Y57" i="7"/>
  <c r="Y39" i="7"/>
  <c r="Y9" i="7"/>
  <c r="V29" i="7"/>
  <c r="V42" i="7"/>
  <c r="Y15" i="7"/>
  <c r="V43" i="7"/>
  <c r="Y18" i="7"/>
  <c r="V61" i="7"/>
  <c r="Y19" i="7"/>
  <c r="Y35" i="7"/>
  <c r="V35" i="7"/>
  <c r="Y14" i="7"/>
  <c r="V6" i="7"/>
  <c r="Y22" i="7"/>
  <c r="Y50" i="7"/>
  <c r="V13" i="7"/>
  <c r="V58" i="7"/>
  <c r="V17" i="7"/>
  <c r="V33" i="7"/>
  <c r="V24" i="7"/>
  <c r="V59" i="7"/>
  <c r="V51" i="7"/>
  <c r="V37" i="7"/>
  <c r="V18" i="7"/>
  <c r="V50" i="7"/>
  <c r="V56" i="7"/>
  <c r="V38" i="7"/>
  <c r="V21" i="7"/>
  <c r="V26" i="7"/>
  <c r="V22" i="7"/>
  <c r="V32" i="7"/>
  <c r="V8" i="7"/>
  <c r="V15" i="7"/>
  <c r="Y70" i="7"/>
  <c r="Y71" i="7"/>
  <c r="V5" i="7"/>
  <c r="V46" i="7"/>
  <c r="V63" i="7"/>
  <c r="V30" i="7"/>
  <c r="V10" i="7"/>
  <c r="V39" i="7"/>
  <c r="V64" i="7"/>
  <c r="V54" i="7"/>
  <c r="V9" i="7"/>
  <c r="V40" i="7"/>
  <c r="V12" i="7"/>
  <c r="V19" i="7"/>
  <c r="V44" i="7"/>
  <c r="V65" i="7"/>
  <c r="V70" i="7"/>
  <c r="V71" i="7"/>
  <c r="V27" i="7"/>
  <c r="V62" i="7"/>
  <c r="V66" i="7"/>
  <c r="V70" i="5"/>
  <c r="V55" i="5"/>
  <c r="V32" i="5"/>
  <c r="V40" i="5"/>
  <c r="V44" i="5"/>
  <c r="V28" i="5"/>
  <c r="V20" i="5"/>
  <c r="V13" i="5"/>
  <c r="V71" i="5"/>
  <c r="V65" i="5"/>
  <c r="V62" i="5"/>
  <c r="V54" i="5"/>
  <c r="V53" i="5"/>
  <c r="V33" i="5"/>
  <c r="V41" i="5"/>
  <c r="V30" i="5"/>
  <c r="V34" i="5"/>
  <c r="V38" i="5"/>
  <c r="V42" i="5"/>
  <c r="V29" i="5"/>
  <c r="V31" i="5"/>
  <c r="V35" i="5"/>
  <c r="V39" i="5"/>
  <c r="V43" i="5"/>
  <c r="V45" i="5"/>
  <c r="V21" i="5"/>
  <c r="V25" i="5"/>
  <c r="V26" i="5"/>
  <c r="V19" i="5"/>
  <c r="V23" i="5"/>
  <c r="V24" i="5"/>
  <c r="V14" i="5"/>
  <c r="V15" i="5"/>
  <c r="V12" i="5"/>
  <c r="V22" i="5"/>
  <c r="V16" i="5"/>
  <c r="V118" i="3"/>
  <c r="V109" i="3"/>
  <c r="V108" i="3"/>
  <c r="V9" i="4"/>
  <c r="V94" i="4"/>
  <c r="V23" i="4"/>
  <c r="V35" i="4"/>
  <c r="V12" i="4"/>
  <c r="V38" i="4"/>
  <c r="V41" i="4"/>
  <c r="V77" i="4"/>
  <c r="V79" i="4"/>
  <c r="V64" i="4"/>
  <c r="V66" i="4"/>
  <c r="V63" i="4"/>
  <c r="V62" i="4"/>
  <c r="V84" i="4"/>
  <c r="V82" i="4"/>
  <c r="V34" i="4"/>
  <c r="V93" i="4"/>
  <c r="V24" i="4"/>
  <c r="V37" i="4"/>
  <c r="V78" i="4"/>
  <c r="V83" i="4"/>
  <c r="V85" i="4"/>
  <c r="V92" i="4"/>
  <c r="V91" i="4"/>
  <c r="V26" i="4"/>
  <c r="V32" i="4"/>
  <c r="V42" i="4"/>
  <c r="V27" i="4"/>
  <c r="V28" i="4"/>
  <c r="V31" i="4"/>
  <c r="V30" i="4"/>
  <c r="V45" i="4"/>
  <c r="V67" i="4"/>
  <c r="V51" i="4"/>
  <c r="V40" i="4"/>
  <c r="V50" i="4"/>
  <c r="V44" i="4"/>
  <c r="V65" i="4"/>
  <c r="V17" i="4"/>
  <c r="V15" i="4"/>
  <c r="V19" i="4"/>
  <c r="V21" i="4"/>
  <c r="V14" i="4"/>
  <c r="V18" i="4"/>
  <c r="V16" i="4"/>
  <c r="V20" i="4"/>
  <c r="V148" i="3"/>
  <c r="V147" i="3"/>
  <c r="V143" i="3"/>
  <c r="V146" i="3"/>
  <c r="V145" i="3"/>
  <c r="V142" i="3"/>
  <c r="V141" i="3"/>
  <c r="V140" i="3"/>
  <c r="V139" i="3"/>
  <c r="V138" i="3"/>
  <c r="V137" i="3"/>
  <c r="V136" i="3"/>
  <c r="V135" i="3"/>
  <c r="V134" i="3"/>
  <c r="V133" i="3"/>
  <c r="V132" i="3"/>
  <c r="V131" i="3"/>
  <c r="V130" i="3"/>
  <c r="V129" i="3"/>
  <c r="V127" i="3"/>
  <c r="V128" i="3"/>
  <c r="V125" i="3"/>
  <c r="V126" i="3"/>
</calcChain>
</file>

<file path=xl/sharedStrings.xml><?xml version="1.0" encoding="utf-8"?>
<sst xmlns="http://schemas.openxmlformats.org/spreadsheetml/2006/main" count="5898" uniqueCount="988">
  <si>
    <t>Nil</t>
  </si>
  <si>
    <t>Coupon Status</t>
  </si>
  <si>
    <t>Received</t>
  </si>
  <si>
    <t>Testing</t>
  </si>
  <si>
    <t>Completed</t>
  </si>
  <si>
    <t>Total Coupons Received from PS-3 Locations</t>
  </si>
  <si>
    <t>55 Coupons</t>
  </si>
  <si>
    <t>Total Coupons Tested from PS-3 Locations</t>
  </si>
  <si>
    <t>WCI Updates</t>
  </si>
  <si>
    <t>PS-3 LOCATIONS</t>
  </si>
  <si>
    <t>Location: Halul MOL</t>
  </si>
  <si>
    <t>50-XCC-1001</t>
  </si>
  <si>
    <t>Top Mounted 12-O Clock</t>
  </si>
  <si>
    <t>62005-14.75"</t>
  </si>
  <si>
    <t>BTM</t>
  </si>
  <si>
    <t>MP997</t>
  </si>
  <si>
    <t>MQ998</t>
  </si>
  <si>
    <t>Scaffolding Required</t>
  </si>
  <si>
    <t>Location: Halul NPG Unit</t>
  </si>
  <si>
    <t>C 1018</t>
  </si>
  <si>
    <t>50-XCC-1019</t>
  </si>
  <si>
    <t>Top Mounted 12 O' Clock Flanged access fitting</t>
  </si>
  <si>
    <t>6200-12.25"</t>
  </si>
  <si>
    <t>6200-12.50"</t>
  </si>
  <si>
    <t>MP961</t>
  </si>
  <si>
    <t>MP962</t>
  </si>
  <si>
    <t>MP963</t>
  </si>
  <si>
    <t>MP964</t>
  </si>
  <si>
    <t>Accessible for retreiving. Termporary stand available at site.</t>
  </si>
  <si>
    <t>50-XCC-1021</t>
  </si>
  <si>
    <t>Location: Halul Tank Header Central Manifold</t>
  </si>
  <si>
    <t>50-XCC-1000</t>
  </si>
  <si>
    <t>50-XCC-1003</t>
  </si>
  <si>
    <t>50-XCC-1006</t>
  </si>
  <si>
    <t>50-XCC-1009</t>
  </si>
  <si>
    <t>Bottom
Mounted 6 O’ Clock</t>
  </si>
  <si>
    <t>Disc Coupon</t>
  </si>
  <si>
    <t>6202-3.00"</t>
  </si>
  <si>
    <t>XR912</t>
  </si>
  <si>
    <t>XR913</t>
  </si>
  <si>
    <t>XR914</t>
  </si>
  <si>
    <t>ZK887</t>
  </si>
  <si>
    <t>Accessible for retreiving. Ground Level.</t>
  </si>
  <si>
    <t>Location: Halul North Tank Farms</t>
  </si>
  <si>
    <t>50-XCC-1018</t>
  </si>
  <si>
    <t>Mounted in Tank Shell</t>
  </si>
  <si>
    <t>2" Ladder</t>
  </si>
  <si>
    <t>6204-27.00"</t>
  </si>
  <si>
    <t>Inward</t>
  </si>
  <si>
    <t>Mid</t>
  </si>
  <si>
    <t>Outward</t>
  </si>
  <si>
    <t>AE373</t>
  </si>
  <si>
    <t>VC933</t>
  </si>
  <si>
    <t>VC934</t>
  </si>
  <si>
    <t>VC931</t>
  </si>
  <si>
    <t>VC932</t>
  </si>
  <si>
    <t>AE372</t>
  </si>
  <si>
    <t>50-XCC-1020</t>
  </si>
  <si>
    <t>AE374</t>
  </si>
  <si>
    <t>AE375</t>
  </si>
  <si>
    <t>AE376</t>
  </si>
  <si>
    <t>AE377</t>
  </si>
  <si>
    <t>AE378</t>
  </si>
  <si>
    <t>AE379</t>
  </si>
  <si>
    <t>50-XCC-1022</t>
  </si>
  <si>
    <t>AE297</t>
  </si>
  <si>
    <t>AE386</t>
  </si>
  <si>
    <t>VL816</t>
  </si>
  <si>
    <t>VL819</t>
  </si>
  <si>
    <t>XX157</t>
  </si>
  <si>
    <t>VL887</t>
  </si>
  <si>
    <t>50-XCC-1023</t>
  </si>
  <si>
    <t>AE353</t>
  </si>
  <si>
    <t>AE354</t>
  </si>
  <si>
    <t>AE355</t>
  </si>
  <si>
    <t>AE356</t>
  </si>
  <si>
    <t>ZK848</t>
  </si>
  <si>
    <t>ZK849</t>
  </si>
  <si>
    <t>Location: Halul South Tank Farms</t>
  </si>
  <si>
    <t>50-XCC-1013</t>
  </si>
  <si>
    <t>AE307</t>
  </si>
  <si>
    <t>AE308</t>
  </si>
  <si>
    <t>AE309</t>
  </si>
  <si>
    <t>AE350</t>
  </si>
  <si>
    <t>AE351</t>
  </si>
  <si>
    <t>AE352</t>
  </si>
  <si>
    <t>HALUL ISLAND LOCATIONS</t>
  </si>
  <si>
    <t>Location: Old Metering Area</t>
  </si>
  <si>
    <t>6200-20.25"</t>
  </si>
  <si>
    <t>3" Strip</t>
  </si>
  <si>
    <t>MP995</t>
  </si>
  <si>
    <t>MP996</t>
  </si>
  <si>
    <t>Not Accessible.
Required Scaffolding.</t>
  </si>
  <si>
    <t>Location: Halul API Pit</t>
  </si>
  <si>
    <t>50-XCC-1049</t>
  </si>
  <si>
    <t>6200-7.25"</t>
  </si>
  <si>
    <t>Accessible for retrieving. Ground Level.</t>
  </si>
  <si>
    <t>50-XCC-1052</t>
  </si>
  <si>
    <t>50-XCC-1053</t>
  </si>
  <si>
    <t>50-XCC-1054</t>
  </si>
  <si>
    <t>50-XCC-1055</t>
  </si>
  <si>
    <t>50-XCC-1056</t>
  </si>
  <si>
    <t>6200-6.25"</t>
  </si>
  <si>
    <t>6200-4.25"</t>
  </si>
  <si>
    <t>6200-3.25"</t>
  </si>
  <si>
    <t>MP969</t>
  </si>
  <si>
    <t>MP970</t>
  </si>
  <si>
    <t>MP967</t>
  </si>
  <si>
    <t>MP968</t>
  </si>
  <si>
    <t>MP993</t>
  </si>
  <si>
    <t>MP994</t>
  </si>
  <si>
    <t>MP991</t>
  </si>
  <si>
    <t>MP992</t>
  </si>
  <si>
    <t>MP965</t>
  </si>
  <si>
    <t>MP966</t>
  </si>
  <si>
    <t>INCOMPLETE SAMPLES</t>
  </si>
  <si>
    <t>50-XCC-1026</t>
  </si>
  <si>
    <t>N/A</t>
  </si>
  <si>
    <t>COUPON PRESENT, MISSING APPENDIX INFORMATION.</t>
  </si>
  <si>
    <t>ZC028</t>
  </si>
  <si>
    <t>Cannot Process</t>
  </si>
  <si>
    <t>50-XCC-1017</t>
  </si>
  <si>
    <t>COUPON NOT PRESENT, MISSING APPENDIX INFORMATION.</t>
  </si>
  <si>
    <t>Not Received</t>
  </si>
  <si>
    <t>Incomplete</t>
  </si>
  <si>
    <t>MISSING INFORMATION</t>
  </si>
  <si>
    <t>MQ735</t>
  </si>
  <si>
    <t>MQ736</t>
  </si>
  <si>
    <t>Total Coupons Received from Halul Locations</t>
  </si>
  <si>
    <t>Total Coupons Tested from Halul Locations</t>
  </si>
  <si>
    <t>57 Coupons</t>
  </si>
  <si>
    <t>Coupon Extraction Date (Packet Date)</t>
  </si>
  <si>
    <t>Pre-Cleaning Weight (g)</t>
  </si>
  <si>
    <t>Post-Cleaning Weight (g)</t>
  </si>
  <si>
    <t>WCI Results</t>
  </si>
  <si>
    <t>Locations Details</t>
  </si>
  <si>
    <t>Coupon Installation Details</t>
  </si>
  <si>
    <t>A/F Tag No.</t>
  </si>
  <si>
    <t>Access fitting orientation</t>
  </si>
  <si>
    <t>Coupon Type</t>
  </si>
  <si>
    <t>Coupon material</t>
  </si>
  <si>
    <t>Coupon Holder Model / Length</t>
  </si>
  <si>
    <t>Coupon Position</t>
  </si>
  <si>
    <t>Coupon Install Date</t>
  </si>
  <si>
    <t>Coupon Serial No</t>
  </si>
  <si>
    <t>Coupon Orginal weight (gm)</t>
  </si>
  <si>
    <t>Location: PS-3A Platform - Lower deck</t>
  </si>
  <si>
    <t>53-XCC-1413</t>
  </si>
  <si>
    <t>Top Mounted 12 O’ clock</t>
  </si>
  <si>
    <t>6200-4.75’’</t>
  </si>
  <si>
    <t>MQ039</t>
  </si>
  <si>
    <t>MQ040</t>
  </si>
  <si>
    <t>Location: PS-3B to PS-3A Platform Pipe Bridge (Right Side)</t>
  </si>
  <si>
    <t>53-XCC-918</t>
  </si>
  <si>
    <t>6202-10.00’’</t>
  </si>
  <si>
    <t>ZK885</t>
  </si>
  <si>
    <t>53-XCC-982</t>
  </si>
  <si>
    <t>6202-8.00’’</t>
  </si>
  <si>
    <t>ZK884</t>
  </si>
  <si>
    <t>Location: PS-3B to PS-3A Platform Pipe Bridge (Left Side)</t>
  </si>
  <si>
    <t>53-XCC-985</t>
  </si>
  <si>
    <t>ZK883</t>
  </si>
  <si>
    <t>Location: PS-3B to PS-3C Platform Pipe Bridge</t>
  </si>
  <si>
    <t>53-XCC-949</t>
  </si>
  <si>
    <t>6202-8.75"</t>
  </si>
  <si>
    <t>MQ005</t>
  </si>
  <si>
    <t>MQ006</t>
  </si>
  <si>
    <t>53-XCC-951</t>
  </si>
  <si>
    <t>C1018</t>
  </si>
  <si>
    <t>6200-12.25’’</t>
  </si>
  <si>
    <t>MQ003</t>
  </si>
  <si>
    <t>MQ004</t>
  </si>
  <si>
    <t>53-XCC-953</t>
  </si>
  <si>
    <t>6200-12.50’’</t>
  </si>
  <si>
    <t>MQ001</t>
  </si>
  <si>
    <t>MQ002</t>
  </si>
  <si>
    <t>Location: PS-3B Separator Location- Upper Deck</t>
  </si>
  <si>
    <t>53-XCC-1430</t>
  </si>
  <si>
    <t>MQ033</t>
  </si>
  <si>
    <t>MQ034</t>
  </si>
  <si>
    <t>53-XCC-1428</t>
  </si>
  <si>
    <t>MQ035</t>
  </si>
  <si>
    <t>MQ036</t>
  </si>
  <si>
    <t>53-XCC-973</t>
  </si>
  <si>
    <t>6202-15.50’’</t>
  </si>
  <si>
    <t>ZK886</t>
  </si>
  <si>
    <t>53-XCC-971</t>
  </si>
  <si>
    <t>Side Mounted 3/9 O’ clock</t>
  </si>
  <si>
    <t>6200-8.75’’</t>
  </si>
  <si>
    <t>MQ049</t>
  </si>
  <si>
    <t>MQ050</t>
  </si>
  <si>
    <t>53-XCC-909</t>
  </si>
  <si>
    <t>3"  Scale Coupn</t>
  </si>
  <si>
    <t>6202-21.25</t>
  </si>
  <si>
    <t>MQ031</t>
  </si>
  <si>
    <t>MQ032</t>
  </si>
  <si>
    <t>53-XCC-1408</t>
  </si>
  <si>
    <t>6200-13.50’’</t>
  </si>
  <si>
    <t>Location: PS-3B Separator Pig launcher area- Main Deck New location</t>
  </si>
  <si>
    <t>53-XCC-1001</t>
  </si>
  <si>
    <t>6200-14.75</t>
  </si>
  <si>
    <t>MQ037</t>
  </si>
  <si>
    <t>MQ038</t>
  </si>
  <si>
    <t>Location: PS-3B Production Manifold- Upper Deck</t>
  </si>
  <si>
    <t>53-XCC-945</t>
  </si>
  <si>
    <t>MQ047</t>
  </si>
  <si>
    <t>MQ048</t>
  </si>
  <si>
    <t>Location: PS-3C Riser Platform- Lower Deck</t>
  </si>
  <si>
    <t>53-XCC-1143</t>
  </si>
  <si>
    <t>6200-3.00’’</t>
  </si>
  <si>
    <t>MQ000</t>
  </si>
  <si>
    <t>MQ999</t>
  </si>
  <si>
    <t>Not Available</t>
  </si>
  <si>
    <t>53-XCP-1397</t>
  </si>
  <si>
    <t>53-XCC-1400</t>
  </si>
  <si>
    <t>53-XCC-1402</t>
  </si>
  <si>
    <t>53-XCC-924</t>
  </si>
  <si>
    <t>53-XCC-923</t>
  </si>
  <si>
    <t>53-XCC-1409</t>
  </si>
  <si>
    <t>6200-6.75’’</t>
  </si>
  <si>
    <t>MQ021</t>
  </si>
  <si>
    <t>MQ022</t>
  </si>
  <si>
    <t>53-XCC-0002</t>
  </si>
  <si>
    <t>MQ023</t>
  </si>
  <si>
    <t>MQ024</t>
  </si>
  <si>
    <t>53-XCC-925</t>
  </si>
  <si>
    <t>MQ025</t>
  </si>
  <si>
    <t>MQ026</t>
  </si>
  <si>
    <t>53-XCC-1210</t>
  </si>
  <si>
    <t>6200-9.50’’</t>
  </si>
  <si>
    <t>MQ027</t>
  </si>
  <si>
    <t>MQ028</t>
  </si>
  <si>
    <t>53-XCC-1211</t>
  </si>
  <si>
    <t>6200-7.00’’</t>
  </si>
  <si>
    <t>MQ029</t>
  </si>
  <si>
    <t>MQ030</t>
  </si>
  <si>
    <t>53-XCC-1142</t>
  </si>
  <si>
    <t>53-XCC-1140</t>
  </si>
  <si>
    <t>6200-7.75’’</t>
  </si>
  <si>
    <t>MQ015</t>
  </si>
  <si>
    <t>MQ016</t>
  </si>
  <si>
    <t>53-XCC-1139</t>
  </si>
  <si>
    <t>MQ017</t>
  </si>
  <si>
    <t>MQ018</t>
  </si>
  <si>
    <t>53-XCC-1399</t>
  </si>
  <si>
    <t>6200-6.00’’</t>
  </si>
  <si>
    <t>MQ013</t>
  </si>
  <si>
    <t>MQ014</t>
  </si>
  <si>
    <t>53-XCC-1398</t>
  </si>
  <si>
    <t>MQ011</t>
  </si>
  <si>
    <t>MQ012</t>
  </si>
  <si>
    <t>Location: PS-3C Riser Platform- Upper Deck</t>
  </si>
  <si>
    <t>53-XCC-1424</t>
  </si>
  <si>
    <t>53-XCC-1426</t>
  </si>
  <si>
    <t>Top Mounted 11 O’ clock</t>
  </si>
  <si>
    <t>6200-10.75’’</t>
  </si>
  <si>
    <t>MQ045</t>
  </si>
  <si>
    <t>MQ046</t>
  </si>
  <si>
    <t>Platform-3C Riser New Platform-Upper Deck Level-1</t>
  </si>
  <si>
    <t>53-XCC-1002</t>
  </si>
  <si>
    <t>MQ019</t>
  </si>
  <si>
    <t>MQ020</t>
  </si>
  <si>
    <t>53-XCC-1003</t>
  </si>
  <si>
    <t>MQ043</t>
  </si>
  <si>
    <t>MQ044</t>
  </si>
  <si>
    <t>53-XCC-1004</t>
  </si>
  <si>
    <t>MQ041</t>
  </si>
  <si>
    <t>MQ042</t>
  </si>
  <si>
    <t>Location: PS-3D NGL Facilities- Main Deck</t>
  </si>
  <si>
    <t>43-XCC-1037</t>
  </si>
  <si>
    <t>6200-2.12’’</t>
  </si>
  <si>
    <t>TOP</t>
  </si>
  <si>
    <t>MQ985</t>
  </si>
  <si>
    <t>MQ986</t>
  </si>
  <si>
    <t>Location: PS-3D NGL Facilities- Upper Deck</t>
  </si>
  <si>
    <t>43-XCC-178</t>
  </si>
  <si>
    <t>43-XCC-176</t>
  </si>
  <si>
    <t>MQ007</t>
  </si>
  <si>
    <t>MQ008</t>
  </si>
  <si>
    <t>43-XCC-300</t>
  </si>
  <si>
    <t>MQ009</t>
  </si>
  <si>
    <t>MQ010</t>
  </si>
  <si>
    <t>43-XCC-169</t>
  </si>
  <si>
    <t>Top Mounted 2 O’ clock</t>
  </si>
  <si>
    <t>MQ981</t>
  </si>
  <si>
    <t>MQ982</t>
  </si>
  <si>
    <t>43-XCC-171</t>
  </si>
  <si>
    <t>6200-3.50’’</t>
  </si>
  <si>
    <t>MQ983</t>
  </si>
  <si>
    <t>MQ984</t>
  </si>
  <si>
    <r>
      <rPr>
        <b/>
        <sz val="6.5"/>
        <rFont val="Arial Narrow"/>
        <family val="2"/>
      </rPr>
      <t>S.
No.</t>
    </r>
  </si>
  <si>
    <r>
      <rPr>
        <b/>
        <sz val="6.5"/>
        <rFont val="Arial Narrow"/>
        <family val="2"/>
      </rPr>
      <t>Surface area of the coupon
(in</t>
    </r>
    <r>
      <rPr>
        <b/>
        <vertAlign val="superscript"/>
        <sz val="6.5"/>
        <rFont val="Arial Narrow"/>
        <family val="2"/>
      </rPr>
      <t>2</t>
    </r>
    <r>
      <rPr>
        <b/>
        <sz val="6.5"/>
        <rFont val="Arial Narrow"/>
        <family val="2"/>
      </rPr>
      <t>)</t>
    </r>
  </si>
  <si>
    <r>
      <rPr>
        <b/>
        <sz val="6.5"/>
        <rFont val="Arial Narrow"/>
        <family val="2"/>
      </rPr>
      <t>Density of the coupon (gm/cm</t>
    </r>
    <r>
      <rPr>
        <b/>
        <vertAlign val="superscript"/>
        <sz val="6.5"/>
        <rFont val="Arial Narrow"/>
        <family val="2"/>
      </rPr>
      <t>3</t>
    </r>
    <r>
      <rPr>
        <b/>
        <sz val="6.5"/>
        <rFont val="Arial Narrow"/>
        <family val="2"/>
      </rPr>
      <t>)</t>
    </r>
  </si>
  <si>
    <r>
      <rPr>
        <sz val="6.5"/>
        <rFont val="Arial Narrow"/>
        <family val="2"/>
      </rPr>
      <t>Top
Mounted 12 O’ clock</t>
    </r>
  </si>
  <si>
    <r>
      <rPr>
        <sz val="6.5"/>
        <rFont val="Arial Narrow"/>
        <family val="2"/>
      </rPr>
      <t>Top Mounted 12 O’ clock
(S.S.</t>
    </r>
  </si>
  <si>
    <r>
      <rPr>
        <sz val="6.5"/>
        <rFont val="Arial Narrow"/>
        <family val="2"/>
      </rPr>
      <t>Bottom
Mounted 6 O’ Clock</t>
    </r>
  </si>
  <si>
    <r>
      <rPr>
        <sz val="6.5"/>
        <rFont val="Arial Narrow"/>
        <family val="2"/>
      </rPr>
      <t>Side Mounted
3/9 O’ clock</t>
    </r>
  </si>
  <si>
    <r>
      <rPr>
        <sz val="6.5"/>
        <rFont val="Arial Narrow"/>
        <family val="2"/>
      </rPr>
      <t>Top
Mounted 11 O’ clock</t>
    </r>
  </si>
  <si>
    <r>
      <rPr>
        <sz val="6.5"/>
        <rFont val="Arial Narrow"/>
        <family val="2"/>
      </rPr>
      <t>620005-X56-
10.50’’</t>
    </r>
  </si>
  <si>
    <r>
      <rPr>
        <sz val="6.5"/>
        <rFont val="Arial Narrow"/>
        <family val="2"/>
      </rPr>
      <t>620005-X59-
15.00’’</t>
    </r>
  </si>
  <si>
    <r>
      <rPr>
        <sz val="6.5"/>
        <rFont val="Arial Narrow"/>
        <family val="2"/>
      </rPr>
      <t>620005-X63-
08.50’’</t>
    </r>
  </si>
  <si>
    <r>
      <rPr>
        <sz val="6.5"/>
        <rFont val="Arial Narrow"/>
        <family val="2"/>
      </rPr>
      <t>Side
Mounted 3/9 O’ clock</t>
    </r>
  </si>
  <si>
    <t>Duration</t>
  </si>
  <si>
    <t>Weight Loss (g)</t>
  </si>
  <si>
    <t>Corrected Weight Loss (g)</t>
  </si>
  <si>
    <t>Corrosion Rate (mpy)</t>
  </si>
  <si>
    <t>RESULTS LISTING OF PROCESSED COUPONS</t>
  </si>
  <si>
    <t>PS-2 LOCATIONS</t>
  </si>
  <si>
    <t>Location: PS-2A Platform-Lower deck</t>
  </si>
  <si>
    <t>52-XCC-1046</t>
  </si>
  <si>
    <t>Top Mounted
12 O’ clock</t>
  </si>
  <si>
    <t>NE124</t>
  </si>
  <si>
    <t>NE125</t>
  </si>
  <si>
    <t>Locations: PS-2A Platform-Production Manifold-Main deck</t>
  </si>
  <si>
    <t>52-XCC-909</t>
  </si>
  <si>
    <t>Side Mounted
3/9 O’ clock</t>
  </si>
  <si>
    <t>6200-3.75’’</t>
  </si>
  <si>
    <t>MID</t>
  </si>
  <si>
    <t>NE126</t>
  </si>
  <si>
    <t>NE127</t>
  </si>
  <si>
    <t>52-XCC-1035</t>
  </si>
  <si>
    <t>NE148</t>
  </si>
  <si>
    <t>NE149</t>
  </si>
  <si>
    <t>52-XCC-1036</t>
  </si>
  <si>
    <t>Side Mounted
3/9 O’ clock
Flanged Access fitting</t>
  </si>
  <si>
    <t>6200-11.00’’</t>
  </si>
  <si>
    <t>NE150</t>
  </si>
  <si>
    <t>NE151</t>
  </si>
  <si>
    <t>52-XCC-913</t>
  </si>
  <si>
    <t>NE152</t>
  </si>
  <si>
    <t>NE153</t>
  </si>
  <si>
    <t>52-XCC-914</t>
  </si>
  <si>
    <t>NE154</t>
  </si>
  <si>
    <t>NE155</t>
  </si>
  <si>
    <t>Location: PS-2A Platform-Separator Location-Upper deck</t>
  </si>
  <si>
    <t>52-XCC-1228</t>
  </si>
  <si>
    <t>6200-11.25’’</t>
  </si>
  <si>
    <t>NE122</t>
  </si>
  <si>
    <t>NE123</t>
  </si>
  <si>
    <t>Locations: PS-2A to PS-2B Platform Pipe Bridge</t>
  </si>
  <si>
    <t>52-XCC-1074</t>
  </si>
  <si>
    <t>Flush Disc</t>
  </si>
  <si>
    <t>6202-12.25"</t>
  </si>
  <si>
    <t>XL370</t>
  </si>
  <si>
    <t>52-XCC-1075</t>
  </si>
  <si>
    <t>6200-14.25"</t>
  </si>
  <si>
    <t>NE118</t>
  </si>
  <si>
    <t>NE119</t>
  </si>
  <si>
    <t>Locations: PS-2A To PS-2C Platform Pipe Bridge</t>
  </si>
  <si>
    <t>52-XCC-1072</t>
  </si>
  <si>
    <t>6200-13.50"</t>
  </si>
  <si>
    <t>NE120</t>
  </si>
  <si>
    <t>NE121</t>
  </si>
  <si>
    <t>52-XCC-1213</t>
  </si>
  <si>
    <t>XL369</t>
  </si>
  <si>
    <t>Location: PS-2A to PS-2D Platform Pipe Bridge</t>
  </si>
  <si>
    <t>42-XCC-1022</t>
  </si>
  <si>
    <t>NE156</t>
  </si>
  <si>
    <t>NE157</t>
  </si>
  <si>
    <t>Location: PS-2B Platform-Main deck</t>
  </si>
  <si>
    <t>52-XCC-1214</t>
  </si>
  <si>
    <t>6200-14.25’’</t>
  </si>
  <si>
    <t>NE116</t>
  </si>
  <si>
    <t>NE117</t>
  </si>
  <si>
    <t>Location: PS-2C Platform-Main Deck</t>
  </si>
  <si>
    <t>52-XCC-1224</t>
  </si>
  <si>
    <t>NE098</t>
  </si>
  <si>
    <t>NE099</t>
  </si>
  <si>
    <t>52-XCC-138</t>
  </si>
  <si>
    <t>NE100</t>
  </si>
  <si>
    <t>NE101</t>
  </si>
  <si>
    <t>52-XCC-137</t>
  </si>
  <si>
    <t>NE102</t>
  </si>
  <si>
    <t>NE103</t>
  </si>
  <si>
    <t>52-XCC-1466</t>
  </si>
  <si>
    <t>-</t>
  </si>
  <si>
    <t>52-XCC-1468</t>
  </si>
  <si>
    <t>52-XCC-106</t>
  </si>
  <si>
    <t>6200-5.00’’</t>
  </si>
  <si>
    <t>NE106</t>
  </si>
  <si>
    <t>NE107</t>
  </si>
  <si>
    <t>52-XCC-108</t>
  </si>
  <si>
    <t>52-XCC-109</t>
  </si>
  <si>
    <t>52-XCC-111</t>
  </si>
  <si>
    <t>52-XCC-115</t>
  </si>
  <si>
    <t>NE108</t>
  </si>
  <si>
    <t>NE109</t>
  </si>
  <si>
    <t>52 XCC 116</t>
  </si>
  <si>
    <t>52-XCC-112</t>
  </si>
  <si>
    <t>NE112</t>
  </si>
  <si>
    <t>NE113</t>
  </si>
  <si>
    <t>52-XCC-114</t>
  </si>
  <si>
    <t>NE110</t>
  </si>
  <si>
    <t>NE111</t>
  </si>
  <si>
    <t>52-XCC-918</t>
  </si>
  <si>
    <t>Side Mounted
11 O’ clock</t>
  </si>
  <si>
    <t>NE114</t>
  </si>
  <si>
    <t>NE115</t>
  </si>
  <si>
    <t>52-XCC-917</t>
  </si>
  <si>
    <t>52-XCC-1225</t>
  </si>
  <si>
    <t>Not available</t>
  </si>
  <si>
    <t>52-XCC-1218</t>
  </si>
  <si>
    <t>NE104</t>
  </si>
  <si>
    <t>NE105</t>
  </si>
  <si>
    <t>Locations: PS-2C Platform-Upper Deck</t>
  </si>
  <si>
    <t>52-XCC-121</t>
  </si>
  <si>
    <t>6200-2.50’’</t>
  </si>
  <si>
    <t>NE086</t>
  </si>
  <si>
    <t>NE087</t>
  </si>
  <si>
    <t>52-XCC-123</t>
  </si>
  <si>
    <t>NE084</t>
  </si>
  <si>
    <t>NE085</t>
  </si>
  <si>
    <t>Locations: PS-2D NGL Platform-Main Deck</t>
  </si>
  <si>
    <t>42-XCC-1048</t>
  </si>
  <si>
    <t>NE146</t>
  </si>
  <si>
    <t>NE147</t>
  </si>
  <si>
    <t>42-XCC-1050</t>
  </si>
  <si>
    <t>6200-20.25’’</t>
  </si>
  <si>
    <t>NE144</t>
  </si>
  <si>
    <t>NE145</t>
  </si>
  <si>
    <t>Locations: PS-2D NGL Platform-Upper Deck</t>
  </si>
  <si>
    <t>42-XCC-176</t>
  </si>
  <si>
    <t>NE138</t>
  </si>
  <si>
    <t>NE139</t>
  </si>
  <si>
    <t>42-XCC-178</t>
  </si>
  <si>
    <t>42-XCC-169</t>
  </si>
  <si>
    <t>NE140</t>
  </si>
  <si>
    <t>NE141</t>
  </si>
  <si>
    <t>42-XCC-171</t>
  </si>
  <si>
    <t>NE142</t>
  </si>
  <si>
    <t>NE143</t>
  </si>
  <si>
    <r>
      <rPr>
        <b/>
        <sz val="10"/>
        <rFont val="Arial Narrow"/>
        <family val="2"/>
      </rPr>
      <t>S.
No.</t>
    </r>
  </si>
  <si>
    <r>
      <rPr>
        <b/>
        <sz val="10"/>
        <rFont val="Arial Narrow"/>
        <family val="2"/>
      </rPr>
      <t>Surface area of the coupon
(in</t>
    </r>
    <r>
      <rPr>
        <b/>
        <vertAlign val="superscript"/>
        <sz val="10"/>
        <rFont val="Arial Narrow"/>
        <family val="2"/>
      </rPr>
      <t>2</t>
    </r>
    <r>
      <rPr>
        <b/>
        <sz val="10"/>
        <rFont val="Arial Narrow"/>
        <family val="2"/>
      </rPr>
      <t>)</t>
    </r>
  </si>
  <si>
    <r>
      <rPr>
        <b/>
        <sz val="10"/>
        <rFont val="Arial Narrow"/>
        <family val="2"/>
      </rPr>
      <t>Density of the coupon (gm/cm</t>
    </r>
    <r>
      <rPr>
        <b/>
        <vertAlign val="superscript"/>
        <sz val="10"/>
        <rFont val="Arial Narrow"/>
        <family val="2"/>
      </rPr>
      <t>3</t>
    </r>
    <r>
      <rPr>
        <b/>
        <sz val="10"/>
        <rFont val="Arial Narrow"/>
        <family val="2"/>
      </rPr>
      <t>)</t>
    </r>
  </si>
  <si>
    <t>LOT 1</t>
  </si>
  <si>
    <t>LOT 2</t>
  </si>
  <si>
    <t>Received As part of Lot 3</t>
  </si>
  <si>
    <t>55 Coupons (Lot 1) + 4 Coupons (Lot 3)</t>
  </si>
  <si>
    <t xml:space="preserve">Accessible for retrieving. 
Working Platform
</t>
  </si>
  <si>
    <t>Accessible for retrieving. 
Below grating 
Working Platform</t>
  </si>
  <si>
    <t xml:space="preserve">Accessible for retrieving. 
Below grating 
Working Platform
</t>
  </si>
  <si>
    <t xml:space="preserve">Accessible for retrieving. 
(Elevated Platform)
</t>
  </si>
  <si>
    <t>Elevated level
Required Scaffolding</t>
  </si>
  <si>
    <t>Not Serviced.
Access fitting to be replaced during shut down</t>
  </si>
  <si>
    <t xml:space="preserve">Not Accessible for retrieving. 
Required Scaffolding
</t>
  </si>
  <si>
    <t>Not Serviced.
Solid Plug jammed.</t>
  </si>
  <si>
    <t xml:space="preserve">During installing unable to installed coupon due to some obstruction in the internal surface of access fitting,     </t>
  </si>
  <si>
    <t>Not Serviced.
Access fitting hole under size and reaming to be required</t>
  </si>
  <si>
    <t>Appendix 6.0</t>
  </si>
  <si>
    <t>Remarks</t>
  </si>
  <si>
    <t>Location Accessibility</t>
  </si>
  <si>
    <t>Insulated line, Replaced the repaint protective cover</t>
  </si>
  <si>
    <t>Accessible for retrieving. Working Platform Below grating</t>
  </si>
  <si>
    <t>Accessible for retrieving. Working Platform</t>
  </si>
  <si>
    <t>Solid plug jammed</t>
  </si>
  <si>
    <t>Not Accessible elevated level. Required scaffolding.</t>
  </si>
  <si>
    <t>Accessible for retrieving. W orking Platform</t>
  </si>
  <si>
    <t>Required to be clearing the pipe edge of access</t>
  </si>
  <si>
    <t>Not Accessible for retrieving elevated level. Required scaffolding.</t>
  </si>
  <si>
    <t>Provide enough space for retrieval operation or relocate.</t>
  </si>
  <si>
    <t>Required to relocate the access fitting</t>
  </si>
  <si>
    <t>Not Accessible for retrieving operation Required for scaffolding</t>
  </si>
  <si>
    <t>Total Coupons Received from PS-2 Locations</t>
  </si>
  <si>
    <t>Total Coupons Tested from PS-2 Locations</t>
  </si>
  <si>
    <t>52 Coupons</t>
  </si>
  <si>
    <t>Visual Pitting or Deformaty</t>
  </si>
  <si>
    <t>Present</t>
  </si>
  <si>
    <t>Pitting Rate (mpy)</t>
  </si>
  <si>
    <t>Comments</t>
  </si>
  <si>
    <t>Coupon Heavily Damaged.</t>
  </si>
  <si>
    <t>Depth of Deepest Pit (mm) via Depth Gauge</t>
  </si>
  <si>
    <t>Minimal Pitting Density.</t>
  </si>
  <si>
    <t>Widespread uneven Coupon Surfacing.</t>
  </si>
  <si>
    <t>Coupon Bent</t>
  </si>
  <si>
    <t>MP998</t>
  </si>
  <si>
    <t>PS-4 LOCATIONS</t>
  </si>
  <si>
    <t>54-NB-203</t>
  </si>
  <si>
    <t>6200-18.00"</t>
  </si>
  <si>
    <t>PS-4 Station-Well Head Platform - 1</t>
  </si>
  <si>
    <t>PS-4 Station-Well Head Platform - 2</t>
  </si>
  <si>
    <t>PS-4 Station-Riser Platform-Lower deck (MSF Deck)</t>
  </si>
  <si>
    <t>PS-4 Station-Riser Platform-Upper Deck-Module 11</t>
  </si>
  <si>
    <t>PS-4 Station-Riser Platform-Upper Deck-Module 12</t>
  </si>
  <si>
    <t>PS-4 Station - Utility Platform</t>
  </si>
  <si>
    <t>53-NB-103</t>
  </si>
  <si>
    <t>53-NB-203</t>
  </si>
  <si>
    <t>53-NB-303</t>
  </si>
  <si>
    <t>53-NB-403</t>
  </si>
  <si>
    <t>53-NB-503</t>
  </si>
  <si>
    <t>53-NB-603</t>
  </si>
  <si>
    <t>53-NB-703</t>
  </si>
  <si>
    <t>53-NB-803</t>
  </si>
  <si>
    <t>53-NB-902</t>
  </si>
  <si>
    <t>54-NB-103</t>
  </si>
  <si>
    <t>54-NB-303</t>
  </si>
  <si>
    <t>54-NB-403</t>
  </si>
  <si>
    <t>54-NB-503</t>
  </si>
  <si>
    <t>54-NB-603</t>
  </si>
  <si>
    <t>54-NB-703</t>
  </si>
  <si>
    <t>54-NB-803</t>
  </si>
  <si>
    <t>54-NB-902</t>
  </si>
  <si>
    <t>51-NB-004</t>
  </si>
  <si>
    <t>51-NB-007</t>
  </si>
  <si>
    <t>51-NB-009</t>
  </si>
  <si>
    <t>51-NE-102</t>
  </si>
  <si>
    <t>51-NB-015</t>
  </si>
  <si>
    <t>51-NE-300</t>
  </si>
  <si>
    <t>51-NB-115</t>
  </si>
  <si>
    <t>51-NB-1016</t>
  </si>
  <si>
    <t>51-NB-017</t>
  </si>
  <si>
    <t>59-NB-003</t>
  </si>
  <si>
    <t>MP953</t>
  </si>
  <si>
    <t>MP954</t>
  </si>
  <si>
    <t>MP951</t>
  </si>
  <si>
    <t>MP952</t>
  </si>
  <si>
    <t>MP957</t>
  </si>
  <si>
    <t>MP958</t>
  </si>
  <si>
    <t>MP955</t>
  </si>
  <si>
    <t>MP956</t>
  </si>
  <si>
    <t>MP959</t>
  </si>
  <si>
    <t>MP960</t>
  </si>
  <si>
    <t>NE134</t>
  </si>
  <si>
    <t>NE135</t>
  </si>
  <si>
    <t>NE136</t>
  </si>
  <si>
    <t>NE137</t>
  </si>
  <si>
    <t>NF946</t>
  </si>
  <si>
    <t>NF947</t>
  </si>
  <si>
    <t>NF948</t>
  </si>
  <si>
    <t>NF949</t>
  </si>
  <si>
    <t>NF950</t>
  </si>
  <si>
    <t>NF951</t>
  </si>
  <si>
    <t>NF954</t>
  </si>
  <si>
    <t>NF955</t>
  </si>
  <si>
    <t>NF952</t>
  </si>
  <si>
    <t>NF953</t>
  </si>
  <si>
    <t>NF888</t>
  </si>
  <si>
    <t>NF889</t>
  </si>
  <si>
    <t>NF956</t>
  </si>
  <si>
    <t>NF957</t>
  </si>
  <si>
    <t>NF890</t>
  </si>
  <si>
    <t>NF891</t>
  </si>
  <si>
    <t>BD957</t>
  </si>
  <si>
    <t>6202-2.75"</t>
  </si>
  <si>
    <t>NE132</t>
  </si>
  <si>
    <t>NE133</t>
  </si>
  <si>
    <t>NE130</t>
  </si>
  <si>
    <t>NE131</t>
  </si>
  <si>
    <t>BD955</t>
  </si>
  <si>
    <t>6202-4.50"</t>
  </si>
  <si>
    <t>XL371</t>
  </si>
  <si>
    <t>MDL</t>
  </si>
  <si>
    <t>3.10" Caproco Make</t>
  </si>
  <si>
    <t>Bottom Mounted 6 O'Clock Hydraulic Access Fitting</t>
  </si>
  <si>
    <t>Bottom Mounted 6 O'Clock</t>
  </si>
  <si>
    <t>3.80" Caproco Make</t>
  </si>
  <si>
    <t>Side Mounted 3 O'clocl (S.S Flanged Access Fitting)</t>
  </si>
  <si>
    <t>ZK889</t>
  </si>
  <si>
    <t>ZK888</t>
  </si>
  <si>
    <t>6200-11.25"</t>
  </si>
  <si>
    <t>NE128</t>
  </si>
  <si>
    <t>NE129</t>
  </si>
  <si>
    <t>*</t>
  </si>
  <si>
    <t>Moderate Pitting</t>
  </si>
  <si>
    <t>Grooved</t>
  </si>
  <si>
    <t>Superficial Pitting</t>
  </si>
  <si>
    <t>Badly Corroded</t>
  </si>
  <si>
    <t>Bent</t>
  </si>
  <si>
    <t>Badly Corroded &amp; Pitted</t>
  </si>
  <si>
    <t>Grooved &amp; Unidentifiable</t>
  </si>
  <si>
    <t>Bottom Section Corroded</t>
  </si>
  <si>
    <t>Extremely Tenacious Scaling / Deposits</t>
  </si>
  <si>
    <t>Embossed Serial Tag Erased from Corrosion</t>
  </si>
  <si>
    <t>Embossed Serial Tag Erased from Corrosion. Harsh Corrosion Damage.</t>
  </si>
  <si>
    <t>Bottom Section of Coupon Corroded</t>
  </si>
  <si>
    <t>A third of Corrosion Coupon Corroded</t>
  </si>
  <si>
    <t>Uneven Corrosion present around the coupon edges.</t>
  </si>
  <si>
    <t>Only Coupon Shoulder Washer Holes Intact.</t>
  </si>
  <si>
    <t>Location: PS-4 Station-Well Head Platform - 2</t>
  </si>
  <si>
    <t>Scaffolding required (Approx. 1m height)</t>
  </si>
  <si>
    <r>
      <rPr>
        <b/>
        <u/>
        <sz val="6.5"/>
        <rFont val="Arial Narrow"/>
        <family val="2"/>
      </rPr>
      <t>LC18106900-Provision of Corrosion Monitoring Services at Various QP Locations</t>
    </r>
    <r>
      <rPr>
        <b/>
        <sz val="6.5"/>
        <rFont val="Arial Narrow"/>
        <family val="2"/>
      </rPr>
      <t xml:space="preserve"> </t>
    </r>
    <r>
      <rPr>
        <b/>
        <u/>
        <sz val="6.5"/>
        <rFont val="Arial Narrow"/>
        <family val="2"/>
      </rPr>
      <t>New Coupons Installation details-PS3 Station 6th Campaign July 2023</t>
    </r>
  </si>
  <si>
    <r>
      <rPr>
        <sz val="6.5"/>
        <rFont val="Arial Narrow"/>
        <family val="2"/>
      </rPr>
      <t>Accessible for
retrieving. W orking Platform</t>
    </r>
  </si>
  <si>
    <r>
      <rPr>
        <sz val="6.5"/>
        <rFont val="Arial Narrow"/>
        <family val="2"/>
      </rPr>
      <t>Not Accessible.
Required Scaffolding.</t>
    </r>
  </si>
  <si>
    <r>
      <rPr>
        <sz val="6.5"/>
        <color rgb="FFFF0000"/>
        <rFont val="Arial Narrow"/>
        <family val="2"/>
      </rPr>
      <t>Already raised SIR report from OAT Corrosion Dept. Replaced aceess fitting</t>
    </r>
  </si>
  <si>
    <r>
      <rPr>
        <sz val="6.5"/>
        <color rgb="FFFF0000"/>
        <rFont val="Arial Narrow"/>
        <family val="2"/>
      </rPr>
      <t>Access fitting hole undersize</t>
    </r>
  </si>
  <si>
    <r>
      <rPr>
        <sz val="6.5"/>
        <color rgb="FFFF0000"/>
        <rFont val="Arial Narrow"/>
        <family val="2"/>
      </rPr>
      <t>Already raised the SIR Report from OAT Corrosion Department for relocating the pipe support</t>
    </r>
  </si>
  <si>
    <r>
      <rPr>
        <sz val="6.5"/>
        <color rgb="FFFF0000"/>
        <rFont val="Arial Narrow"/>
        <family val="2"/>
      </rPr>
      <t>Already raised the SIR Report from OAT Corrosion Department for relocating the access fitting,</t>
    </r>
  </si>
  <si>
    <r>
      <rPr>
        <sz val="6.5"/>
        <rFont val="Arial Narrow"/>
        <family val="2"/>
      </rPr>
      <t>Required for relocate in corrosion monitoring access fitting.
Tag No. to be provided.</t>
    </r>
  </si>
  <si>
    <r>
      <rPr>
        <sz val="6.5"/>
        <rFont val="Arial Narrow"/>
        <family val="2"/>
      </rPr>
      <t>1.Retrieval clearance
not available Obstructed.
2. Required relocate</t>
    </r>
  </si>
  <si>
    <r>
      <rPr>
        <sz val="6.5"/>
        <rFont val="Arial Narrow"/>
        <family val="2"/>
      </rPr>
      <t>Not Accessible for
retrieving operation Required for scaffolding</t>
    </r>
  </si>
  <si>
    <r>
      <rPr>
        <sz val="6.5"/>
        <rFont val="Arial Narrow"/>
        <family val="2"/>
      </rPr>
      <t>Access fitting location
elevated level. Required Scaffolding.</t>
    </r>
  </si>
  <si>
    <r>
      <rPr>
        <sz val="6.5"/>
        <rFont val="Arial Narrow"/>
        <family val="2"/>
      </rPr>
      <t>Required access fitting
to be replaced</t>
    </r>
  </si>
  <si>
    <r>
      <rPr>
        <sz val="6.5"/>
        <color rgb="FFFF0000"/>
        <rFont val="Arial Narrow"/>
        <family val="2"/>
      </rPr>
      <t>Already raised the SIR
Report from OAT Corrosion Department for relocating the access fitting,</t>
    </r>
  </si>
  <si>
    <r>
      <rPr>
        <sz val="6.5"/>
        <color rgb="FFFF0000"/>
        <rFont val="Arial Narrow"/>
        <family val="2"/>
      </rPr>
      <t>Every campaign Mechanical crew removed the valve wheel which is getting obstructed</t>
    </r>
  </si>
  <si>
    <t>Well abandoned and line not flowing</t>
  </si>
  <si>
    <t>Incolncoloy coupons N/A</t>
  </si>
  <si>
    <t>Obstruction point done with line depressurized by operation crew. Incoloy coupons N/A</t>
  </si>
  <si>
    <t>Not Installed. Hydraulic Access fitting.</t>
  </si>
  <si>
    <t xml:space="preserve">Not Accessible for retrievin elevated level.
</t>
  </si>
  <si>
    <t>This location needs to be service during shutdown</t>
  </si>
  <si>
    <t xml:space="preserve">Accessible for retreiving. Working Platform.
</t>
  </si>
  <si>
    <t>Scaffolding required (Approx. 0.5m height)</t>
  </si>
  <si>
    <t>Next Campaign needs to be replaced coupon holder.</t>
  </si>
  <si>
    <t>Incoloy coupons N/A</t>
  </si>
  <si>
    <t>Total Coupons Received from PS-4 Locations</t>
  </si>
  <si>
    <t>Total Coupons Tested from PS-4 Locations</t>
  </si>
  <si>
    <t>39 Coupons</t>
  </si>
  <si>
    <t>39 Coupons (2 incomplete reportings)</t>
  </si>
  <si>
    <t>LOT 3</t>
  </si>
  <si>
    <t>LOT 4</t>
  </si>
  <si>
    <t>Top Mounted 12 O' Clock Flanged A/F</t>
  </si>
  <si>
    <t>S-CC-996</t>
  </si>
  <si>
    <t>S-CC-995</t>
  </si>
  <si>
    <t>S-CC-101</t>
  </si>
  <si>
    <t>S-CC-103</t>
  </si>
  <si>
    <t>S-CC-1241</t>
  </si>
  <si>
    <t>S-CC-102</t>
  </si>
  <si>
    <t>S-C-998</t>
  </si>
  <si>
    <t>S-C-994</t>
  </si>
  <si>
    <t>S-CC-100</t>
  </si>
  <si>
    <t>S-C-999</t>
  </si>
  <si>
    <t>14.50"</t>
  </si>
  <si>
    <t>10.00"</t>
  </si>
  <si>
    <t>8.00"</t>
  </si>
  <si>
    <t>14.00"</t>
  </si>
  <si>
    <t>8.75"</t>
  </si>
  <si>
    <t>2.75"</t>
  </si>
  <si>
    <t>9.00"</t>
  </si>
  <si>
    <t>NA</t>
  </si>
  <si>
    <t>RI348</t>
  </si>
  <si>
    <t>RI349</t>
  </si>
  <si>
    <t>RI346</t>
  </si>
  <si>
    <t>RI347</t>
  </si>
  <si>
    <t>RI350</t>
  </si>
  <si>
    <t>RI351</t>
  </si>
  <si>
    <t>RX283</t>
  </si>
  <si>
    <t>RX284</t>
  </si>
  <si>
    <t>I915</t>
  </si>
  <si>
    <t>I916</t>
  </si>
  <si>
    <t>RX263</t>
  </si>
  <si>
    <t>RX264</t>
  </si>
  <si>
    <t>RX265</t>
  </si>
  <si>
    <t>RX266</t>
  </si>
  <si>
    <t>I919</t>
  </si>
  <si>
    <t>I920</t>
  </si>
  <si>
    <t>RC682</t>
  </si>
  <si>
    <t>XW756</t>
  </si>
  <si>
    <t>RI342</t>
  </si>
  <si>
    <t>RI343</t>
  </si>
  <si>
    <t>RX259</t>
  </si>
  <si>
    <t>RX260</t>
  </si>
  <si>
    <t>RX281</t>
  </si>
  <si>
    <t>RX282</t>
  </si>
  <si>
    <t>RX279</t>
  </si>
  <si>
    <t>RX280</t>
  </si>
  <si>
    <t>HN861</t>
  </si>
  <si>
    <t>HN862</t>
  </si>
  <si>
    <t>VARIOUS LOCATIONS (2025/10/19)</t>
  </si>
  <si>
    <t>Location: Mesaieed Station S</t>
  </si>
  <si>
    <t>Location: Mesaieed Station T2</t>
  </si>
  <si>
    <t>T2-CC-001</t>
  </si>
  <si>
    <t>12.50"</t>
  </si>
  <si>
    <t>T2-CC-002</t>
  </si>
  <si>
    <t>RI367</t>
  </si>
  <si>
    <t>RI366</t>
  </si>
  <si>
    <t>RI368</t>
  </si>
  <si>
    <t>RI369</t>
  </si>
  <si>
    <t>W5-CC-001</t>
  </si>
  <si>
    <t>W5-CC-002</t>
  </si>
  <si>
    <t>Bottom Mounted 6 O' Clock A/F</t>
  </si>
  <si>
    <t>3.12"</t>
  </si>
  <si>
    <t>Location: Mesaieed Station W5</t>
  </si>
  <si>
    <t>OZ436</t>
  </si>
  <si>
    <t>TM404</t>
  </si>
  <si>
    <t>XCC-2</t>
  </si>
  <si>
    <t>XCC-1</t>
  </si>
  <si>
    <t>XCC-3</t>
  </si>
  <si>
    <t>XCC-4</t>
  </si>
  <si>
    <t>XCC-6</t>
  </si>
  <si>
    <t>Side Mounted 9 O' Clock Flanged A/F</t>
  </si>
  <si>
    <t>Side Mounted 3 O' Clock Flanged A/F</t>
  </si>
  <si>
    <t>Bottom Mounted 6 O' Clock Flanged A/F</t>
  </si>
  <si>
    <t>RI370</t>
  </si>
  <si>
    <t>RI371</t>
  </si>
  <si>
    <t>Location: Wakrah CMS Station</t>
  </si>
  <si>
    <t>Discoloration</t>
  </si>
  <si>
    <t>OZ536</t>
  </si>
  <si>
    <t xml:space="preserve">LC241047B0 -Provision of Corrosion Monitoring Services at Various QE Locations
 PS1 Station   1st  Campaign October 2025 </t>
  </si>
  <si>
    <t>Appendix 5.0</t>
  </si>
  <si>
    <t>S. No.</t>
  </si>
  <si>
    <t>P&amp;ID No./ Line No./ 
Line description</t>
  </si>
  <si>
    <r>
      <t>Surface area of the coupon
(in</t>
    </r>
    <r>
      <rPr>
        <b/>
        <vertAlign val="superscript"/>
        <sz val="10.5"/>
        <color theme="1"/>
        <rFont val="Calibri"/>
        <family val="2"/>
        <scheme val="minor"/>
      </rPr>
      <t>2</t>
    </r>
    <r>
      <rPr>
        <b/>
        <sz val="10.5"/>
        <color theme="1"/>
        <rFont val="Calibri"/>
        <family val="2"/>
        <scheme val="minor"/>
      </rPr>
      <t>)</t>
    </r>
  </si>
  <si>
    <r>
      <t>Density of the coupon
(gm/cm</t>
    </r>
    <r>
      <rPr>
        <b/>
        <vertAlign val="superscript"/>
        <sz val="10.5"/>
        <color theme="1"/>
        <rFont val="Calibri"/>
        <family val="2"/>
        <scheme val="minor"/>
      </rPr>
      <t>3</t>
    </r>
    <r>
      <rPr>
        <b/>
        <sz val="10.5"/>
        <color theme="1"/>
        <rFont val="Calibri"/>
        <family val="2"/>
        <scheme val="minor"/>
      </rPr>
      <t>)</t>
    </r>
  </si>
  <si>
    <t>Coupon Original weight (gm)</t>
  </si>
  <si>
    <t>New Coupon Serial No</t>
  </si>
  <si>
    <t>New Coupon Original weight (gm)</t>
  </si>
  <si>
    <t>Pre Cleaning Weight (g)</t>
  </si>
  <si>
    <t>Post Cleaning Weght (g)</t>
  </si>
  <si>
    <t>Coupon Extraction Date</t>
  </si>
  <si>
    <t>Correted Weight Loss (g)</t>
  </si>
  <si>
    <t>Pitting Depth (mils)</t>
  </si>
  <si>
    <t>Pittimg Rate (mpy)</t>
  </si>
  <si>
    <t>Location: PS-1B Upper Deck</t>
  </si>
  <si>
    <t>51-XCC-903</t>
  </si>
  <si>
    <t>8”-OC-510056,
production manifold flowline to V-5106 surge drum, P&amp;ID No. 11W-0017-29</t>
  </si>
  <si>
    <t xml:space="preserve">Top Mounted
12 O’ clock </t>
  </si>
  <si>
    <t>3” strip</t>
  </si>
  <si>
    <t>6200-09.50”</t>
  </si>
  <si>
    <t>XN432</t>
  </si>
  <si>
    <t>NF000</t>
  </si>
  <si>
    <t>Accessible for retrieving.
Working Platform</t>
  </si>
  <si>
    <t>XN433</t>
  </si>
  <si>
    <t>NF999</t>
  </si>
  <si>
    <t>Location: PS-1C Cellar Deck (Lower)</t>
  </si>
  <si>
    <t>51-XCC-W07</t>
  </si>
  <si>
    <t>8"- OC-510093,
from IS-W07 riser to PS1C production manifold, P&amp;ID No- 11W-0017-02</t>
  </si>
  <si>
    <t xml:space="preserve">Side Mounted
3/9 O’ clock </t>
  </si>
  <si>
    <t>6200-06.00”</t>
  </si>
  <si>
    <t>MOL</t>
  </si>
  <si>
    <t>XN436</t>
  </si>
  <si>
    <t>NF045</t>
  </si>
  <si>
    <t>XN437</t>
  </si>
  <si>
    <t>NF046</t>
  </si>
  <si>
    <t>51-XCC-W10</t>
  </si>
  <si>
    <t>8"-OC-510094, flowline from IS-W10 riser to PS1C production manifold, P&amp;ID No- 11W-0017-27</t>
  </si>
  <si>
    <t>6200-03.50”</t>
  </si>
  <si>
    <t>XN468</t>
  </si>
  <si>
    <t>NF043</t>
  </si>
  <si>
    <t>XN469</t>
  </si>
  <si>
    <t>NF044</t>
  </si>
  <si>
    <t>51-XCC-5071</t>
  </si>
  <si>
    <t>8"- OC-510091, manifold flowline, P&amp;ID No- 11W-0017-28</t>
  </si>
  <si>
    <t>XN472</t>
  </si>
  <si>
    <t>NF041</t>
  </si>
  <si>
    <t>XN473</t>
  </si>
  <si>
    <t>NF042</t>
  </si>
  <si>
    <t>51-XCC-5060</t>
  </si>
  <si>
    <t>8"-OC-510186, flowline to PS1C production manifold, P&amp;ID No- 11W-0017-01</t>
  </si>
  <si>
    <t>6200-04.75”</t>
  </si>
  <si>
    <t>XN470</t>
  </si>
  <si>
    <t>NF039</t>
  </si>
  <si>
    <t>XN471</t>
  </si>
  <si>
    <t>NF040</t>
  </si>
  <si>
    <t>Location: PS-1C Upper Deck</t>
  </si>
  <si>
    <t>51-XCC-3902</t>
  </si>
  <si>
    <t>4"- GP-510017, gas lift to/from IS-SB riser, P&amp;ID No- 11W-0017-54</t>
  </si>
  <si>
    <t>Flush Disc Coupon</t>
  </si>
  <si>
    <t>6202-3.00”</t>
  </si>
  <si>
    <t>XW795</t>
  </si>
  <si>
    <t>XW785</t>
  </si>
  <si>
    <t>Scaffolding required for retrieval operation</t>
  </si>
  <si>
    <t>51-XCC-5521</t>
  </si>
  <si>
    <t>10"- OC-51A14
manifold flowline to V-5152 HP separator, P&amp;ID No- 11W-0017-25</t>
  </si>
  <si>
    <t>XN434</t>
  </si>
  <si>
    <t>NF036</t>
  </si>
  <si>
    <t>XN435</t>
  </si>
  <si>
    <t>NF037</t>
  </si>
  <si>
    <t>Location: PS-1D Cellar Deck (Lower)</t>
  </si>
  <si>
    <t>51-XCC-1199</t>
  </si>
  <si>
    <t>8"- OC-510127/2, flowline from ISSA riser to PS1B production manifold, P&amp;ID No- 11W-0017-23</t>
  </si>
  <si>
    <t>6200-08.75”</t>
  </si>
  <si>
    <t>XN444</t>
  </si>
  <si>
    <t>NF034</t>
  </si>
  <si>
    <t>XN445</t>
  </si>
  <si>
    <t>NF035</t>
  </si>
  <si>
    <t>Location: PS-1D Compressor Deck Level-2</t>
  </si>
  <si>
    <t>51-XCC-217</t>
  </si>
  <si>
    <t>P&amp;ID No.11W-0017-15
4"- OC-511706
From slug catcher V-4109 to 8" PS3 pipeline for spiking
2nd Access fitting</t>
  </si>
  <si>
    <t>Top Mounted
12 O’ clock Flanged access fitting</t>
  </si>
  <si>
    <t>XN440</t>
  </si>
  <si>
    <t>NF030</t>
  </si>
  <si>
    <t>XN441</t>
  </si>
  <si>
    <t>NF031</t>
  </si>
  <si>
    <t>41-XCC-961</t>
  </si>
  <si>
    <t xml:space="preserve">P&amp;ID No.11W-0017-19
16"-GP-41346
Gas flowline from slug catcher V-4109 to 24" gas export pipeline. </t>
  </si>
  <si>
    <t>R3503HEAT940303-04.75”</t>
  </si>
  <si>
    <t>TOL</t>
  </si>
  <si>
    <t>XN442</t>
  </si>
  <si>
    <t>NF032</t>
  </si>
  <si>
    <t>XN443</t>
  </si>
  <si>
    <t>NF033</t>
  </si>
  <si>
    <t>Location: PS-1D Upper Crane Deck</t>
  </si>
  <si>
    <t>41-XCC-190</t>
  </si>
  <si>
    <t>P&amp;ID No.11W-0017-18
10"-GP-41027
From PS3 gas pipeline to slug catcher V-4109 
1st Access fitting</t>
  </si>
  <si>
    <t>6200-03.00"</t>
  </si>
  <si>
    <t>XN438</t>
  </si>
  <si>
    <t>NF028</t>
  </si>
  <si>
    <t>XN439</t>
  </si>
  <si>
    <t>NF029</t>
  </si>
  <si>
    <t>Location: PS-1K Main Deck</t>
  </si>
  <si>
    <t>21-XCC-210008</t>
  </si>
  <si>
    <t>24"- OC-210008, flowline from surge drum V-2102 to oil transfer pumps, P&amp;ID No- PS1K-0-05-0351</t>
  </si>
  <si>
    <t>Top Mounted
2 O’ clock Flanged access fitting</t>
  </si>
  <si>
    <t>6200-19.75"</t>
  </si>
  <si>
    <t>XN430</t>
  </si>
  <si>
    <t>NE976</t>
  </si>
  <si>
    <t>XN431</t>
  </si>
  <si>
    <t>NE979</t>
  </si>
  <si>
    <t>Location: PS-1K Mezzanine Level (Compressor deck)</t>
  </si>
  <si>
    <t>11-XCC-110230</t>
  </si>
  <si>
    <t>2"- GC-110230, gas condensate from 2nd stage K.O. drum V-1103 to surge vessel V-2102, P&amp;ID No- PS1K-0-05-0401</t>
  </si>
  <si>
    <t>6202-3.50”</t>
  </si>
  <si>
    <t>XW797</t>
  </si>
  <si>
    <t>XW796</t>
  </si>
  <si>
    <t>Location: PS-1K Upper (Crane Deck)</t>
  </si>
  <si>
    <t>11-XCC-110002</t>
  </si>
  <si>
    <t>28"- GP-110002, from 2nd stage K.O. drum V-1103 to 2nd stage compressor K-1110B, P&amp;ID No- PS1K-0-05-0401</t>
  </si>
  <si>
    <t xml:space="preserve">Top Mounted
12 O’ clock
Flanged access fitting insulated </t>
  </si>
  <si>
    <t>6200-21.75"</t>
  </si>
  <si>
    <t>XN428</t>
  </si>
  <si>
    <t>NE988</t>
  </si>
  <si>
    <t>XN429</t>
  </si>
  <si>
    <t>NE989</t>
  </si>
  <si>
    <t>11-XCC-110003</t>
  </si>
  <si>
    <t>20"- GP-110003, gas flowline from 2nd stage compressor to 2nd stage after cooler E-1102, P&amp;ID No- PS1K-0-05-0402</t>
  </si>
  <si>
    <t>6200-17.00"</t>
  </si>
  <si>
    <t>XN486</t>
  </si>
  <si>
    <t>NE992</t>
  </si>
  <si>
    <t>XN487</t>
  </si>
  <si>
    <t>NE993</t>
  </si>
  <si>
    <t>Location: PS-1R Main Deck</t>
  </si>
  <si>
    <t>51-XCC-6317</t>
  </si>
  <si>
    <t>8"- OC-511257, from IS-29 riser to production manifold, P&amp;ID No- 11W-0017-41</t>
  </si>
  <si>
    <t>6200-07.00”</t>
  </si>
  <si>
    <t>XN506</t>
  </si>
  <si>
    <t>NF007</t>
  </si>
  <si>
    <t>XN507</t>
  </si>
  <si>
    <t>NE998</t>
  </si>
  <si>
    <t>51-XCC-6118</t>
  </si>
  <si>
    <t>8"- OC-511007, from IS-W10 riser to production manifold, P&amp;ID No- 11W-0017-36</t>
  </si>
  <si>
    <t>XN502</t>
  </si>
  <si>
    <t>NE974</t>
  </si>
  <si>
    <t>XN503</t>
  </si>
  <si>
    <t>NE975</t>
  </si>
  <si>
    <t>51-XCC-6097</t>
  </si>
  <si>
    <t>8”- OC-511005, from IS-23 riser to production manifold, P&amp;ID No- 11W-0017-36</t>
  </si>
  <si>
    <t>PCOAC 158 STB03-07.25”</t>
  </si>
  <si>
    <t>XN478</t>
  </si>
  <si>
    <t>NE972</t>
  </si>
  <si>
    <t>XN479</t>
  </si>
  <si>
    <t>NE973</t>
  </si>
  <si>
    <t>51-XCC-6327</t>
  </si>
  <si>
    <t>8"- WI-516831, seawater for injection to water injection manifold, P&amp;ID No- 11W-0017-38</t>
  </si>
  <si>
    <t>6200-08.50”</t>
  </si>
  <si>
    <t>XN496</t>
  </si>
  <si>
    <t>NE970</t>
  </si>
  <si>
    <t>XN497</t>
  </si>
  <si>
    <t>NE971</t>
  </si>
  <si>
    <t>51-XCC-6087</t>
  </si>
  <si>
    <t>8"- OC-511004, from IS-06 riser to production manifold, P&amp;ID No- 11W-0017-35</t>
  </si>
  <si>
    <t>XN492</t>
  </si>
  <si>
    <t>NF016</t>
  </si>
  <si>
    <t>XN493</t>
  </si>
  <si>
    <t>NF017</t>
  </si>
  <si>
    <t>51-XCC-6569</t>
  </si>
  <si>
    <t>16"- OC-511019, flowline from surge drum V-5163 to MOL pumps, P&amp;ID No-11W-0017-53</t>
  </si>
  <si>
    <t>6200-08.00”</t>
  </si>
  <si>
    <t>XN494</t>
  </si>
  <si>
    <t>NE968</t>
  </si>
  <si>
    <t>XN495</t>
  </si>
  <si>
    <t>NE977</t>
  </si>
  <si>
    <t>51-XCC-6037</t>
  </si>
  <si>
    <t>10"- OC-510998, from IS-V07 riser to production manifold, P&amp;ID No- 11W-0017-34</t>
  </si>
  <si>
    <t>6200-07.25”</t>
  </si>
  <si>
    <t>XN490</t>
  </si>
  <si>
    <t>NE996</t>
  </si>
  <si>
    <t>XN491</t>
  </si>
  <si>
    <t>NE997</t>
  </si>
  <si>
    <t>51-XCC-6007</t>
  </si>
  <si>
    <t>10"- OC-510991, from IS-T06 riser to production manifold, P&amp;ID No- 11W-0017-33</t>
  </si>
  <si>
    <t>6200-09.00”</t>
  </si>
  <si>
    <t>XN446</t>
  </si>
  <si>
    <t>NE990</t>
  </si>
  <si>
    <t>XN447</t>
  </si>
  <si>
    <t>NE991</t>
  </si>
  <si>
    <t>51-XCC-6427</t>
  </si>
  <si>
    <t>8"- OC-511008, from IS-07 riser to production manifold, P&amp;ID No- 11W-0017-37</t>
  </si>
  <si>
    <t>Location: PS-1R Upper Deck</t>
  </si>
  <si>
    <t>51-XCC-17453</t>
  </si>
  <si>
    <t>14"- OC-511415, from IS-W07 riser to production manifold, P&amp;ID No- 11W-0017-40</t>
  </si>
  <si>
    <t>XN480</t>
  </si>
  <si>
    <t>NF001</t>
  </si>
  <si>
    <t>XN481</t>
  </si>
  <si>
    <t>NF002</t>
  </si>
  <si>
    <t>51-XCC-6567</t>
  </si>
  <si>
    <t>24"- OC-511001, from production manifold to V-5161 HP separator, P&amp;ID No- 11W-0017-51</t>
  </si>
  <si>
    <t>XN482</t>
  </si>
  <si>
    <t>NF003</t>
  </si>
  <si>
    <t>XN483</t>
  </si>
  <si>
    <t>NF004</t>
  </si>
  <si>
    <t>51-XCC-6568</t>
  </si>
  <si>
    <t>18"- OC-511011, from HP separator V-5161 to surge drum V-5163, P&amp;ID No- 11W-0017-52</t>
  </si>
  <si>
    <t>XN484</t>
  </si>
  <si>
    <t>NF005</t>
  </si>
  <si>
    <t>XN485</t>
  </si>
  <si>
    <t>NF006</t>
  </si>
  <si>
    <t>Location: PS-1W Main Deck</t>
  </si>
  <si>
    <t>51-XCC-8035</t>
  </si>
  <si>
    <t>18"- WI-516765, from PS1W booster pump discharge to water injection manifold, P&amp;ID No- 11W-0029-06</t>
  </si>
  <si>
    <t>6202-02.75”</t>
  </si>
  <si>
    <t>XW798</t>
  </si>
  <si>
    <t>XW780</t>
  </si>
  <si>
    <t>51-XCC-5551</t>
  </si>
  <si>
    <t>10”-OC-510197, M/F flowline to V5153 HP separator, P&amp;ID NO
11W-0017-26</t>
  </si>
  <si>
    <t>XN504</t>
  </si>
  <si>
    <t>NF038</t>
  </si>
  <si>
    <t>The location had not been serviced previously. The retrieval was successfully completed today. As per the previous remark, the retrieval could not be connected earlier due to obstruction from the pipeline at the retrieval tool end cup. For this operation, an 18” RBS retrieval tool and double isolation service valve were used, which allowed smooth and safe retrieval.</t>
  </si>
  <si>
    <t>XN505</t>
  </si>
  <si>
    <t>NF047</t>
  </si>
  <si>
    <t>21-XCC-3357</t>
  </si>
  <si>
    <t xml:space="preserve">16”-OC-210226-15152GK from IS-U08C riser to production manifold P&amp;ID No- PS1K-0-05-0306 </t>
  </si>
  <si>
    <t>Top Mounted
12 O’ clock
Flanged Access fitting</t>
  </si>
  <si>
    <t>6" Strip</t>
  </si>
  <si>
    <t>6200-12.00”</t>
  </si>
  <si>
    <t>AC001</t>
  </si>
  <si>
    <t>NF019</t>
  </si>
  <si>
    <t>New location.</t>
  </si>
  <si>
    <t>AC004</t>
  </si>
  <si>
    <t>NF010</t>
  </si>
  <si>
    <t>Location: PS-1K ESDV (Cellar deck)</t>
  </si>
  <si>
    <t>11-XCP-1121-1</t>
  </si>
  <si>
    <t>6”-GP-11712-151501X-3GP CC-GAS LIFT TO JACKET IS-U08C P&amp;ID No- PS1K-0-05-0441</t>
  </si>
  <si>
    <t>Top Mounted
12 O’ clock
 Access fitting</t>
  </si>
  <si>
    <t>6200-04.50”</t>
  </si>
  <si>
    <t>NF014</t>
  </si>
  <si>
    <t>New location.Retrieve solid plug install new holder and Coupon</t>
  </si>
  <si>
    <t>NF015</t>
  </si>
  <si>
    <t>Location: PWHF MOL Halul</t>
  </si>
  <si>
    <t>20"- OC-500501/511092,
20” MOL from PS1 R
P&amp;ID No- HPWHF-0-05-0010 SHT 001</t>
  </si>
  <si>
    <t>6202-08.50”</t>
  </si>
  <si>
    <t>XN488</t>
  </si>
  <si>
    <t>XN489</t>
  </si>
  <si>
    <t>Extraction Remarks</t>
  </si>
  <si>
    <t>Pitting Depth (mm)</t>
  </si>
  <si>
    <t>Black Discoloration with Liquid Streaks / None / Light..</t>
  </si>
  <si>
    <t>Black Discoloration / None / Light..</t>
  </si>
  <si>
    <t>Black Discoloration with Light Rusting Color &amp; Liquid Streaks / None / Light..</t>
  </si>
  <si>
    <t>Black Discoloration with Light Rusting Color &amp; Liquid Streaks / None / Light.</t>
  </si>
  <si>
    <t>Black Discoloaration with white scaling / None / Heavy.</t>
  </si>
  <si>
    <t>Black Discoloaration with white scaling / Minor Bending  / Heavy.</t>
  </si>
  <si>
    <t>Black Discoloration / Large Groove Front Side / Light</t>
  </si>
  <si>
    <t>Black Discoloration / None / Light</t>
  </si>
  <si>
    <t>Black Discoloration with Light Scaling / None / Medium</t>
  </si>
  <si>
    <t>Black Discoloration with Visible Rust Color / None / Light</t>
  </si>
  <si>
    <t>Black Discoloration with Liquid spots / None / Medium</t>
  </si>
  <si>
    <t>Black Discoloration with White Scaling / Minor Indent bottom side / Moderate</t>
  </si>
  <si>
    <t>Black Discoloration with Heavy Rusting Color &amp; white scaling / Peeling Layers / Heavy</t>
  </si>
  <si>
    <t>Black Discoloration with Rusting Color / None / Light</t>
  </si>
  <si>
    <t>Black Discoloration / None / Moderate</t>
  </si>
  <si>
    <t>Black Discoloration with Visible Rust and White Scaling / None / Moderate</t>
  </si>
  <si>
    <t>Black Discoloatation with Visible Rusting Color and White Scaling / None / Heavy</t>
  </si>
  <si>
    <t>Black Discoloration with White Scaling / Top Corner Denting / Light</t>
  </si>
  <si>
    <t>Black Discoloration with Liquid spots / None / Heavy</t>
  </si>
  <si>
    <t>Black Discoloration with Rusting Color / Major Coupon Bending / Light</t>
  </si>
  <si>
    <t>Black Disoloration with Heavy Rust Color / Layers Peeling / Heavy)</t>
  </si>
  <si>
    <t>Black Disoloration with Heavy Rust Color / Layers Peeling and Minor Bending / Heavy)</t>
  </si>
  <si>
    <t>Backside Micropitting / Large Groove / Clean</t>
  </si>
  <si>
    <t>None / None / Dark spot from tenacious layer.</t>
  </si>
  <si>
    <t>Micropitting / None / Clean with isolated spots of residual tenacious dirt.</t>
  </si>
  <si>
    <t>None / None / Clean with isolated spots of residual tenacious dirt.</t>
  </si>
  <si>
    <t>None / Grooves and wells throughout coupon / Clean</t>
  </si>
  <si>
    <t>None / None / Clean</t>
  </si>
  <si>
    <t>Micropitting / None / Clean with some discoloration within the pits.</t>
  </si>
  <si>
    <t>Micropitting / Denting on Edges / Clean with discoloration at the bottom of the pit.</t>
  </si>
  <si>
    <t>Micropitting / None / Clean with residual black colors from tenacious dirt.</t>
  </si>
  <si>
    <t>None / Major Coupon Bending and Dents around the edges / Clean with slight black colors from tenacious dirt.</t>
  </si>
  <si>
    <t>Micropitting / Minor Bending / Clean with isolated dark spots from tenacious dirt.</t>
  </si>
  <si>
    <t>Micropitting / None / Clean with isolated dark spots from tenacious dirt.</t>
  </si>
  <si>
    <t>None / None / Clean with slight discoloration.</t>
  </si>
  <si>
    <t>None / Dents around the Edges / Clean with slight discoloration.</t>
  </si>
  <si>
    <t>Micropitting / None / Clean with slight discoloration.</t>
  </si>
  <si>
    <t>None / None / Clean with slight discoloration</t>
  </si>
  <si>
    <t>None / None / Clean with slight discoloration from tenacious dirt.</t>
  </si>
  <si>
    <t>Black Discoloration with Light Rusting Color &amp; Liquid Streaks / Major Dent Damage on Nameplace / Moderate.</t>
  </si>
  <si>
    <t>None / Major Dent on nameplace / Clean</t>
  </si>
  <si>
    <t>Micropitting / Bent Coupon / Clean but black discoloration (spots) from tenacious dirt at the bottom of pits.</t>
  </si>
  <si>
    <t>Micropitting / None / Clean but black discoloration (spots) from tenacious dirt at the bottom of pits.</t>
  </si>
  <si>
    <t>None  / None / Clean with slight discoloration.</t>
  </si>
  <si>
    <t>Micropitting / None / Clean with with slight discoloration.</t>
  </si>
  <si>
    <t>None / Dents around the dges / Clean with slight discoloration.</t>
  </si>
  <si>
    <t>None / Denting on Top Corner / Clean with slight discoloration.</t>
  </si>
  <si>
    <t>None / Denting on Top Corner / Clean with Residual black colors from tenacious dirt.</t>
  </si>
  <si>
    <t>None / None / Clean with Residual black colors from tenacious layer.</t>
  </si>
  <si>
    <t>None / None / Clean Residual black colors from tenacious layer.</t>
  </si>
  <si>
    <t>Sporadic Pitting / None / Clean but Black Discoloration from tenacious dirt at the bottom of pits (even after 3 cycles of acid-scrubbing)</t>
  </si>
  <si>
    <t>Sporadic Pitting / None / Clean Black Discoloration from tenacious dirt at the bottom of pits (even after 3 cycles of acid-scrubbing)</t>
  </si>
  <si>
    <t>Previously from HALUL SHEET</t>
  </si>
  <si>
    <t>Laboratory Remarks (Post-Cleaning) (Criteria: Pitting Type / Deformity / Surface Condition</t>
  </si>
  <si>
    <t>Laboratory Remarks (Pre-Cleaning) (Criteria: Appearance / Deformity / Surface Roughness).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</si>
</sst>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m\-yyyy;@"/>
    <numFmt numFmtId="166" formatCode="0.0000"/>
    <numFmt numFmtId="167" formatCode="[$-14C09]dd/mm/yyyy;@"/>
    <numFmt numFmtId="168" formatCode="dd/mm/yyyy;@"/>
    <numFmt numFmtId="169" formatCode="dd\-mmm\-yyyy"/>
  </numFmts>
  <fonts count="41" x14ac:knownFonts="1">
    <font>
      <sz val="10"/>
      <color rgb="FF000000"/>
      <name val="Times New Roman"/>
      <charset val="204"/>
    </font>
    <font>
      <sz val="11"/>
      <color theme="1"/>
      <name val="Calibri"/>
      <family val="2"/>
      <scheme val="minor"/>
    </font>
    <font>
      <sz val="11"/>
      <color theme="1"/>
      <name val="Calibri"/>
      <family val="2"/>
      <scheme val="minor"/>
    </font>
    <font>
      <sz val="8"/>
      <name val="Times New Roman"/>
      <family val="1"/>
    </font>
    <font>
      <sz val="10"/>
      <color rgb="FF000000"/>
      <name val="Arial Narrow"/>
      <family val="2"/>
    </font>
    <font>
      <b/>
      <u/>
      <sz val="8.5"/>
      <name val="Arial Narrow"/>
      <family val="2"/>
    </font>
    <font>
      <b/>
      <sz val="8.5"/>
      <name val="Arial Narrow"/>
      <family val="2"/>
    </font>
    <font>
      <b/>
      <sz val="10"/>
      <color rgb="FF000000"/>
      <name val="Arial Narrow"/>
      <family val="2"/>
    </font>
    <font>
      <b/>
      <sz val="6.5"/>
      <name val="Arial Narrow"/>
      <family val="2"/>
    </font>
    <font>
      <b/>
      <vertAlign val="superscript"/>
      <sz val="6.5"/>
      <name val="Arial Narrow"/>
      <family val="2"/>
    </font>
    <font>
      <b/>
      <sz val="16"/>
      <color rgb="FF000000"/>
      <name val="Arial Narrow"/>
      <family val="2"/>
    </font>
    <font>
      <b/>
      <sz val="6.5"/>
      <color rgb="FF000000"/>
      <name val="Arial Narrow"/>
      <family val="2"/>
    </font>
    <font>
      <sz val="6.5"/>
      <name val="Arial Narrow"/>
      <family val="2"/>
    </font>
    <font>
      <sz val="6.5"/>
      <color rgb="FF000000"/>
      <name val="Arial Narrow"/>
      <family val="2"/>
    </font>
    <font>
      <sz val="6"/>
      <name val="Arial Narrow"/>
      <family val="2"/>
    </font>
    <font>
      <b/>
      <sz val="7.5"/>
      <name val="Arial Narrow"/>
      <family val="2"/>
    </font>
    <font>
      <b/>
      <u/>
      <sz val="10"/>
      <name val="Arial Narrow"/>
      <family val="2"/>
    </font>
    <font>
      <b/>
      <sz val="10"/>
      <name val="Arial Narrow"/>
      <family val="2"/>
    </font>
    <font>
      <b/>
      <vertAlign val="superscript"/>
      <sz val="10"/>
      <name val="Arial Narrow"/>
      <family val="2"/>
    </font>
    <font>
      <sz val="10"/>
      <name val="Arial Narrow"/>
      <family val="2"/>
    </font>
    <font>
      <sz val="10"/>
      <color theme="1"/>
      <name val="Arial Narrow"/>
      <family val="2"/>
    </font>
    <font>
      <sz val="8"/>
      <name val="Times New Roman"/>
      <charset val="204"/>
    </font>
    <font>
      <b/>
      <u/>
      <sz val="6.5"/>
      <name val="Arial Narrow"/>
      <family val="2"/>
    </font>
    <font>
      <sz val="6.5"/>
      <color rgb="FFFF0000"/>
      <name val="Arial Narrow"/>
      <family val="2"/>
    </font>
    <font>
      <sz val="6.5"/>
      <color theme="1"/>
      <name val="Arial Narrow"/>
      <family val="2"/>
    </font>
    <font>
      <sz val="6.5"/>
      <color theme="0"/>
      <name val="Arial Narrow"/>
      <family val="2"/>
    </font>
    <font>
      <sz val="6.5"/>
      <name val="Arial"/>
      <family val="2"/>
    </font>
    <font>
      <sz val="10"/>
      <name val="Arial"/>
    </font>
    <font>
      <b/>
      <u/>
      <sz val="14"/>
      <name val="Calibri"/>
      <family val="2"/>
      <scheme val="minor"/>
    </font>
    <font>
      <b/>
      <u/>
      <sz val="14"/>
      <name val="Arial"/>
      <family val="2"/>
    </font>
    <font>
      <b/>
      <sz val="12"/>
      <name val="Arial"/>
      <family val="2"/>
    </font>
    <font>
      <b/>
      <sz val="14"/>
      <name val="Arial"/>
      <family val="2"/>
    </font>
    <font>
      <b/>
      <sz val="10.5"/>
      <name val="Arial"/>
      <family val="2"/>
    </font>
    <font>
      <b/>
      <sz val="11"/>
      <name val="Arial"/>
      <family val="2"/>
    </font>
    <font>
      <b/>
      <sz val="10.5"/>
      <color theme="1"/>
      <name val="Arial"/>
      <family val="2"/>
    </font>
    <font>
      <b/>
      <vertAlign val="superscript"/>
      <sz val="10.5"/>
      <color theme="1"/>
      <name val="Calibri"/>
      <family val="2"/>
      <scheme val="minor"/>
    </font>
    <font>
      <b/>
      <sz val="10.5"/>
      <color theme="1"/>
      <name val="Calibri"/>
      <family val="2"/>
      <scheme val="minor"/>
    </font>
    <font>
      <b/>
      <sz val="11"/>
      <color theme="1"/>
      <name val="Arial"/>
      <family val="2"/>
    </font>
    <font>
      <sz val="11"/>
      <color theme="1"/>
      <name val="Arial"/>
      <family val="2"/>
    </font>
    <font>
      <sz val="11"/>
      <name val="Arial"/>
      <family val="2"/>
    </font>
    <font>
      <sz val="12"/>
      <name val="Calibri"/>
      <family val="2"/>
      <scheme val="minor"/>
    </font>
  </fonts>
  <fills count="11">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4"/>
        <bgColor indexed="64"/>
      </patternFill>
    </fill>
    <fill>
      <patternFill patternType="solid">
        <fgColor theme="6"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4" tint="0.79998168889431442"/>
        <bgColor indexed="65"/>
      </patternFill>
    </fill>
    <fill>
      <patternFill patternType="solid">
        <fgColor rgb="FFFFFF00"/>
        <bgColor indexed="64"/>
      </patternFill>
    </fill>
  </fills>
  <borders count="7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rgb="FF000000"/>
      </left>
      <right style="thin">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bottom style="medium">
        <color indexed="64"/>
      </bottom>
      <diagonal/>
    </border>
    <border>
      <left style="thin">
        <color indexed="64"/>
      </left>
      <right style="thin">
        <color indexed="64"/>
      </right>
      <top style="medium">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auto="1"/>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style="thin">
        <color auto="1"/>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xf numFmtId="0" fontId="27" fillId="0" borderId="0"/>
    <xf numFmtId="0" fontId="1" fillId="9" borderId="0" applyNumberFormat="0" applyBorder="0" applyAlignment="0" applyProtection="0"/>
    <xf numFmtId="0" fontId="1" fillId="0" borderId="0"/>
  </cellStyleXfs>
  <cellXfs count="840">
    <xf numFmtId="0" fontId="0" fillId="0" borderId="0" xfId="0" applyAlignment="1">
      <alignment horizontal="left" vertical="top"/>
    </xf>
    <xf numFmtId="0" fontId="0" fillId="0" borderId="0" xfId="0" applyAlignment="1">
      <alignment horizontal="center" vertical="center"/>
    </xf>
    <xf numFmtId="0" fontId="4" fillId="0" borderId="0" xfId="0" applyFont="1" applyAlignment="1">
      <alignment horizontal="left" vertical="top"/>
    </xf>
    <xf numFmtId="167" fontId="4" fillId="0" borderId="0" xfId="0" applyNumberFormat="1" applyFont="1" applyAlignment="1">
      <alignment horizontal="left" vertical="top"/>
    </xf>
    <xf numFmtId="0" fontId="8" fillId="0" borderId="6" xfId="0" applyFont="1" applyBorder="1" applyAlignment="1">
      <alignment horizontal="center" vertical="center" wrapText="1"/>
    </xf>
    <xf numFmtId="0" fontId="4" fillId="0" borderId="6" xfId="0" applyFont="1" applyBorder="1" applyAlignment="1">
      <alignment horizontal="center" vertical="center" wrapText="1"/>
    </xf>
    <xf numFmtId="167" fontId="8" fillId="0" borderId="6" xfId="0" applyNumberFormat="1" applyFont="1" applyBorder="1" applyAlignment="1">
      <alignment horizontal="center" vertical="center" wrapText="1"/>
    </xf>
    <xf numFmtId="166" fontId="8" fillId="0" borderId="6" xfId="0" applyNumberFormat="1" applyFont="1" applyBorder="1" applyAlignment="1">
      <alignment horizontal="center" vertical="center" wrapText="1"/>
    </xf>
    <xf numFmtId="166" fontId="4" fillId="0" borderId="0" xfId="0" applyNumberFormat="1" applyFont="1" applyAlignment="1">
      <alignment horizontal="left" vertical="top"/>
    </xf>
    <xf numFmtId="0" fontId="4" fillId="0" borderId="23" xfId="0" applyFont="1" applyBorder="1" applyAlignment="1">
      <alignment horizontal="center" vertical="center"/>
    </xf>
    <xf numFmtId="1" fontId="11" fillId="0" borderId="6" xfId="0" applyNumberFormat="1" applyFont="1" applyBorder="1" applyAlignment="1">
      <alignment horizontal="center" vertical="center" shrinkToFit="1"/>
    </xf>
    <xf numFmtId="0" fontId="12" fillId="0" borderId="6" xfId="0" applyFont="1" applyBorder="1" applyAlignment="1">
      <alignment horizontal="center" vertical="center" wrapText="1"/>
    </xf>
    <xf numFmtId="164" fontId="13" fillId="0" borderId="2" xfId="0" applyNumberFormat="1" applyFont="1" applyBorder="1" applyAlignment="1">
      <alignment horizontal="center" vertical="center" shrinkToFit="1"/>
    </xf>
    <xf numFmtId="2" fontId="13" fillId="0" borderId="2" xfId="0" applyNumberFormat="1" applyFont="1" applyBorder="1" applyAlignment="1">
      <alignment horizontal="center" vertical="center" shrinkToFit="1"/>
    </xf>
    <xf numFmtId="167" fontId="13" fillId="0" borderId="6" xfId="0" applyNumberFormat="1" applyFont="1" applyBorder="1" applyAlignment="1">
      <alignment horizontal="center" vertical="center" shrinkToFit="1"/>
    </xf>
    <xf numFmtId="0" fontId="12" fillId="0" borderId="2" xfId="0" applyFont="1" applyBorder="1" applyAlignment="1">
      <alignment horizontal="center" vertical="center" wrapText="1"/>
    </xf>
    <xf numFmtId="166" fontId="13" fillId="0" borderId="2" xfId="0" applyNumberFormat="1" applyFont="1" applyBorder="1" applyAlignment="1">
      <alignment horizontal="center" vertical="center" shrinkToFit="1"/>
    </xf>
    <xf numFmtId="0" fontId="4" fillId="2" borderId="11" xfId="0" applyFont="1" applyFill="1" applyBorder="1" applyAlignment="1">
      <alignment horizontal="center" vertical="center"/>
    </xf>
    <xf numFmtId="1" fontId="11" fillId="0" borderId="7" xfId="0" applyNumberFormat="1" applyFont="1" applyBorder="1" applyAlignment="1">
      <alignment horizontal="center" vertical="center" shrinkToFit="1"/>
    </xf>
    <xf numFmtId="0" fontId="8" fillId="0" borderId="7" xfId="0" applyFont="1" applyBorder="1" applyAlignment="1">
      <alignment horizontal="center" vertical="center" wrapText="1"/>
    </xf>
    <xf numFmtId="0" fontId="12" fillId="0" borderId="7" xfId="0" applyFont="1" applyBorder="1" applyAlignment="1">
      <alignment horizontal="center" vertical="center" wrapText="1"/>
    </xf>
    <xf numFmtId="167" fontId="13" fillId="0" borderId="7" xfId="0" applyNumberFormat="1" applyFont="1" applyBorder="1" applyAlignment="1">
      <alignment horizontal="center" vertical="center" shrinkToFit="1"/>
    </xf>
    <xf numFmtId="0" fontId="4" fillId="0" borderId="11" xfId="0" applyFont="1" applyBorder="1" applyAlignment="1">
      <alignment horizontal="center" vertical="center"/>
    </xf>
    <xf numFmtId="1" fontId="11" fillId="0" borderId="2" xfId="0" applyNumberFormat="1" applyFont="1" applyBorder="1" applyAlignment="1">
      <alignment horizontal="center" vertical="center" shrinkToFit="1"/>
    </xf>
    <xf numFmtId="0" fontId="8" fillId="0" borderId="2" xfId="0" applyFont="1" applyBorder="1" applyAlignment="1">
      <alignment horizontal="center" vertical="center" wrapText="1"/>
    </xf>
    <xf numFmtId="0" fontId="4" fillId="0" borderId="2" xfId="0" applyFont="1" applyBorder="1" applyAlignment="1">
      <alignment horizontal="center" vertical="center" wrapText="1"/>
    </xf>
    <xf numFmtId="167" fontId="13" fillId="0" borderId="2" xfId="0" applyNumberFormat="1" applyFont="1" applyBorder="1" applyAlignment="1">
      <alignment horizontal="center" vertical="center" shrinkToFit="1"/>
    </xf>
    <xf numFmtId="0" fontId="4" fillId="3" borderId="11" xfId="0" applyFont="1" applyFill="1" applyBorder="1" applyAlignment="1">
      <alignment horizontal="center" vertical="center"/>
    </xf>
    <xf numFmtId="164" fontId="13" fillId="0" borderId="6" xfId="0" applyNumberFormat="1" applyFont="1" applyBorder="1" applyAlignment="1">
      <alignment horizontal="center" vertical="center" shrinkToFit="1"/>
    </xf>
    <xf numFmtId="2" fontId="13" fillId="0" borderId="6" xfId="0" applyNumberFormat="1" applyFont="1" applyBorder="1" applyAlignment="1">
      <alignment horizontal="center" vertical="center" shrinkToFit="1"/>
    </xf>
    <xf numFmtId="0" fontId="4" fillId="0" borderId="7" xfId="0" applyFont="1" applyBorder="1" applyAlignment="1">
      <alignment horizontal="center" vertical="center" wrapText="1"/>
    </xf>
    <xf numFmtId="0" fontId="12" fillId="0" borderId="8" xfId="0" applyFont="1" applyBorder="1" applyAlignment="1">
      <alignment horizontal="center" vertical="center" wrapText="1"/>
    </xf>
    <xf numFmtId="164" fontId="13" fillId="0" borderId="8" xfId="0" applyNumberFormat="1" applyFont="1" applyBorder="1" applyAlignment="1">
      <alignment horizontal="center" vertical="center" shrinkToFit="1"/>
    </xf>
    <xf numFmtId="2" fontId="13" fillId="0" borderId="8" xfId="0" applyNumberFormat="1" applyFont="1" applyBorder="1" applyAlignment="1">
      <alignment horizontal="center" vertical="center" shrinkToFit="1"/>
    </xf>
    <xf numFmtId="166" fontId="13" fillId="0" borderId="6" xfId="0" applyNumberFormat="1" applyFont="1" applyBorder="1" applyAlignment="1">
      <alignment horizontal="center" vertical="center" shrinkToFit="1"/>
    </xf>
    <xf numFmtId="166" fontId="13" fillId="0" borderId="7" xfId="0" applyNumberFormat="1" applyFont="1" applyBorder="1" applyAlignment="1">
      <alignment horizontal="center" vertical="center" shrinkToFit="1"/>
    </xf>
    <xf numFmtId="0" fontId="14" fillId="0" borderId="2" xfId="0" applyFont="1" applyBorder="1" applyAlignment="1">
      <alignment horizontal="center" vertical="center" wrapText="1"/>
    </xf>
    <xf numFmtId="166" fontId="4" fillId="0" borderId="2" xfId="0" applyNumberFormat="1" applyFont="1" applyBorder="1" applyAlignment="1">
      <alignment horizontal="center" vertical="center" wrapText="1"/>
    </xf>
    <xf numFmtId="0" fontId="4" fillId="0" borderId="8" xfId="0" applyFont="1" applyBorder="1" applyAlignment="1">
      <alignment horizontal="center" vertical="center" wrapText="1"/>
    </xf>
    <xf numFmtId="167" fontId="13" fillId="0" borderId="8" xfId="0" applyNumberFormat="1" applyFont="1" applyBorder="1" applyAlignment="1">
      <alignment horizontal="center" vertical="center" shrinkToFit="1"/>
    </xf>
    <xf numFmtId="166" fontId="4" fillId="0" borderId="7" xfId="0" applyNumberFormat="1" applyFont="1" applyBorder="1" applyAlignment="1">
      <alignment horizontal="center" vertical="center" wrapText="1"/>
    </xf>
    <xf numFmtId="166" fontId="13" fillId="3" borderId="2" xfId="0" applyNumberFormat="1" applyFont="1" applyFill="1" applyBorder="1" applyAlignment="1">
      <alignment horizontal="center" vertical="center" shrinkToFit="1"/>
    </xf>
    <xf numFmtId="0" fontId="4" fillId="2" borderId="14" xfId="0" applyFont="1" applyFill="1" applyBorder="1" applyAlignment="1">
      <alignment horizontal="center" vertical="center"/>
    </xf>
    <xf numFmtId="0" fontId="4" fillId="0" borderId="0" xfId="0" applyFont="1" applyAlignment="1">
      <alignment horizontal="center" vertical="center"/>
    </xf>
    <xf numFmtId="0" fontId="13" fillId="0" borderId="6" xfId="0" applyFont="1" applyBorder="1" applyAlignment="1">
      <alignment horizontal="center" vertical="center" wrapText="1"/>
    </xf>
    <xf numFmtId="167" fontId="13" fillId="0" borderId="6" xfId="0" applyNumberFormat="1" applyFont="1" applyBorder="1" applyAlignment="1">
      <alignment horizontal="center" vertical="center" wrapText="1"/>
    </xf>
    <xf numFmtId="0" fontId="13" fillId="0" borderId="2" xfId="0" applyFont="1" applyBorder="1" applyAlignment="1">
      <alignment horizontal="center" vertical="center" wrapText="1"/>
    </xf>
    <xf numFmtId="166" fontId="13" fillId="0" borderId="2" xfId="0" applyNumberFormat="1" applyFont="1" applyBorder="1" applyAlignment="1">
      <alignment horizontal="center" vertical="center" wrapText="1"/>
    </xf>
    <xf numFmtId="166" fontId="4" fillId="0" borderId="0" xfId="0" applyNumberFormat="1" applyFont="1" applyAlignment="1">
      <alignment horizontal="center" vertical="center"/>
    </xf>
    <xf numFmtId="167" fontId="4" fillId="0" borderId="0" xfId="0" applyNumberFormat="1" applyFont="1" applyAlignment="1">
      <alignment horizontal="center" vertical="center"/>
    </xf>
    <xf numFmtId="0" fontId="13" fillId="0" borderId="7" xfId="0" applyFont="1" applyBorder="1" applyAlignment="1">
      <alignment horizontal="center" vertical="center" wrapText="1"/>
    </xf>
    <xf numFmtId="166" fontId="13" fillId="0" borderId="6" xfId="0" applyNumberFormat="1" applyFont="1" applyBorder="1" applyAlignment="1">
      <alignment horizontal="center" vertical="center" wrapText="1"/>
    </xf>
    <xf numFmtId="166" fontId="13" fillId="0" borderId="7" xfId="0" applyNumberFormat="1" applyFont="1" applyBorder="1" applyAlignment="1">
      <alignment horizontal="center" vertical="center" wrapText="1"/>
    </xf>
    <xf numFmtId="0" fontId="13" fillId="0" borderId="8" xfId="0" applyFont="1" applyBorder="1" applyAlignment="1">
      <alignment horizontal="center" vertical="center" wrapText="1"/>
    </xf>
    <xf numFmtId="167" fontId="13" fillId="0" borderId="8" xfId="0" applyNumberFormat="1" applyFont="1" applyBorder="1" applyAlignment="1">
      <alignment horizontal="center" vertical="center" wrapText="1"/>
    </xf>
    <xf numFmtId="0" fontId="8" fillId="0" borderId="11" xfId="0" applyFont="1" applyBorder="1" applyAlignment="1">
      <alignment horizontal="center" vertical="center" wrapText="1"/>
    </xf>
    <xf numFmtId="0" fontId="13" fillId="0" borderId="11" xfId="0" applyFont="1" applyBorder="1" applyAlignment="1">
      <alignment horizontal="center" vertical="center" wrapText="1"/>
    </xf>
    <xf numFmtId="167" fontId="13" fillId="0" borderId="11" xfId="0" applyNumberFormat="1" applyFont="1" applyBorder="1" applyAlignment="1">
      <alignment horizontal="center" vertical="center" wrapText="1"/>
    </xf>
    <xf numFmtId="166" fontId="13" fillId="0" borderId="11" xfId="0" applyNumberFormat="1" applyFont="1" applyBorder="1" applyAlignment="1">
      <alignment horizontal="center" vertical="center" wrapText="1"/>
    </xf>
    <xf numFmtId="0" fontId="4" fillId="0" borderId="11" xfId="0" applyFont="1" applyBorder="1" applyAlignment="1">
      <alignment horizontal="center" vertical="center" wrapText="1"/>
    </xf>
    <xf numFmtId="0" fontId="13" fillId="0" borderId="14" xfId="0" applyFont="1" applyBorder="1" applyAlignment="1">
      <alignment horizontal="center" vertical="center" wrapText="1"/>
    </xf>
    <xf numFmtId="166" fontId="13" fillId="0" borderId="14" xfId="0" applyNumberFormat="1" applyFont="1" applyBorder="1" applyAlignment="1">
      <alignment horizontal="center" vertical="center" wrapText="1"/>
    </xf>
    <xf numFmtId="0" fontId="13" fillId="0" borderId="23" xfId="0" applyFont="1" applyBorder="1" applyAlignment="1">
      <alignment horizontal="center" vertical="center" wrapText="1"/>
    </xf>
    <xf numFmtId="166" fontId="13" fillId="0" borderId="23" xfId="0" applyNumberFormat="1" applyFont="1" applyBorder="1" applyAlignment="1">
      <alignment horizontal="center" vertical="center" wrapText="1"/>
    </xf>
    <xf numFmtId="164" fontId="13" fillId="0" borderId="7" xfId="0" applyNumberFormat="1" applyFont="1" applyBorder="1" applyAlignment="1">
      <alignment horizontal="center" vertical="center" shrinkToFit="1"/>
    </xf>
    <xf numFmtId="2" fontId="13" fillId="0" borderId="7" xfId="0" applyNumberFormat="1" applyFont="1" applyBorder="1" applyAlignment="1">
      <alignment horizontal="center" vertical="center" shrinkToFit="1"/>
    </xf>
    <xf numFmtId="0" fontId="4" fillId="3" borderId="23" xfId="0" applyFont="1" applyFill="1" applyBorder="1" applyAlignment="1">
      <alignment horizontal="center" vertical="center"/>
    </xf>
    <xf numFmtId="0" fontId="4" fillId="2" borderId="23" xfId="0" applyFont="1" applyFill="1" applyBorder="1" applyAlignment="1">
      <alignment horizontal="center" vertical="center"/>
    </xf>
    <xf numFmtId="166" fontId="13" fillId="0" borderId="8" xfId="0" applyNumberFormat="1" applyFont="1" applyBorder="1" applyAlignment="1">
      <alignment horizontal="center" vertical="center" shrinkToFit="1"/>
    </xf>
    <xf numFmtId="0" fontId="4" fillId="3" borderId="34" xfId="0" applyFont="1" applyFill="1" applyBorder="1" applyAlignment="1">
      <alignment horizontal="center" vertical="center"/>
    </xf>
    <xf numFmtId="166" fontId="4" fillId="0" borderId="11" xfId="0" applyNumberFormat="1" applyFont="1" applyBorder="1" applyAlignment="1">
      <alignment horizontal="center" vertical="center"/>
    </xf>
    <xf numFmtId="167" fontId="4" fillId="0" borderId="11" xfId="0" applyNumberFormat="1" applyFont="1" applyBorder="1" applyAlignment="1">
      <alignment horizontal="center" vertical="center"/>
    </xf>
    <xf numFmtId="0" fontId="4" fillId="0" borderId="43" xfId="0" applyFont="1" applyBorder="1" applyAlignment="1">
      <alignment horizontal="center" vertical="center"/>
    </xf>
    <xf numFmtId="0" fontId="4" fillId="3" borderId="43" xfId="0" applyFont="1" applyFill="1" applyBorder="1" applyAlignment="1">
      <alignment horizontal="center" vertical="center"/>
    </xf>
    <xf numFmtId="166" fontId="4" fillId="0" borderId="14" xfId="0" applyNumberFormat="1" applyFont="1" applyBorder="1" applyAlignment="1">
      <alignment horizontal="center" vertical="center"/>
    </xf>
    <xf numFmtId="167" fontId="4" fillId="0" borderId="14" xfId="0" applyNumberFormat="1" applyFont="1" applyBorder="1" applyAlignment="1">
      <alignment horizontal="center" vertical="center"/>
    </xf>
    <xf numFmtId="0" fontId="4" fillId="0" borderId="14" xfId="0" applyFont="1" applyBorder="1" applyAlignment="1">
      <alignment horizontal="center" vertical="center"/>
    </xf>
    <xf numFmtId="166" fontId="4" fillId="0" borderId="23" xfId="0" applyNumberFormat="1" applyFont="1" applyBorder="1" applyAlignment="1">
      <alignment horizontal="center" vertical="center"/>
    </xf>
    <xf numFmtId="167" fontId="4" fillId="0" borderId="23" xfId="0" applyNumberFormat="1" applyFont="1" applyBorder="1" applyAlignment="1">
      <alignment horizontal="center" vertical="center"/>
    </xf>
    <xf numFmtId="166" fontId="4" fillId="0" borderId="6" xfId="0" applyNumberFormat="1" applyFont="1" applyBorder="1" applyAlignment="1">
      <alignment horizontal="center" vertical="center" wrapText="1"/>
    </xf>
    <xf numFmtId="0" fontId="4" fillId="3" borderId="14" xfId="0" applyFont="1" applyFill="1" applyBorder="1" applyAlignment="1">
      <alignment horizontal="center" vertical="center"/>
    </xf>
    <xf numFmtId="0" fontId="4" fillId="3" borderId="39" xfId="0" applyFont="1" applyFill="1" applyBorder="1" applyAlignment="1">
      <alignment horizontal="center" vertical="center"/>
    </xf>
    <xf numFmtId="0" fontId="4" fillId="3" borderId="42" xfId="0" applyFont="1" applyFill="1" applyBorder="1" applyAlignment="1">
      <alignment horizontal="center" vertical="center"/>
    </xf>
    <xf numFmtId="166" fontId="13" fillId="3" borderId="7" xfId="0" applyNumberFormat="1" applyFont="1" applyFill="1" applyBorder="1" applyAlignment="1">
      <alignment horizontal="center" vertical="center" shrinkToFit="1"/>
    </xf>
    <xf numFmtId="167" fontId="13" fillId="0" borderId="30" xfId="0" applyNumberFormat="1" applyFont="1" applyBorder="1" applyAlignment="1">
      <alignment horizontal="center" vertical="center" wrapText="1"/>
    </xf>
    <xf numFmtId="0" fontId="8" fillId="0" borderId="14" xfId="0" applyFont="1" applyBorder="1" applyAlignment="1">
      <alignment horizontal="center" vertical="center" wrapText="1"/>
    </xf>
    <xf numFmtId="0" fontId="13" fillId="0" borderId="34" xfId="0" applyFont="1" applyBorder="1" applyAlignment="1">
      <alignment horizontal="center" vertical="center" wrapText="1"/>
    </xf>
    <xf numFmtId="0" fontId="4" fillId="2" borderId="34" xfId="0" applyFont="1" applyFill="1" applyBorder="1" applyAlignment="1">
      <alignment horizontal="center" vertical="center"/>
    </xf>
    <xf numFmtId="166" fontId="4" fillId="0" borderId="34" xfId="0" applyNumberFormat="1" applyFont="1" applyBorder="1" applyAlignment="1">
      <alignment horizontal="center" vertical="center"/>
    </xf>
    <xf numFmtId="167" fontId="4" fillId="0" borderId="34" xfId="0" applyNumberFormat="1" applyFont="1" applyBorder="1" applyAlignment="1">
      <alignment horizontal="center" vertical="center"/>
    </xf>
    <xf numFmtId="2" fontId="4" fillId="0" borderId="0" xfId="0" applyNumberFormat="1" applyFont="1" applyAlignment="1">
      <alignment horizontal="left" vertical="top"/>
    </xf>
    <xf numFmtId="2" fontId="4" fillId="0" borderId="0" xfId="0" applyNumberFormat="1" applyFont="1" applyAlignment="1">
      <alignment horizontal="center" vertical="center"/>
    </xf>
    <xf numFmtId="0" fontId="11" fillId="0" borderId="11" xfId="0" applyFont="1" applyBorder="1" applyAlignment="1">
      <alignment horizontal="center" vertical="center" wrapText="1"/>
    </xf>
    <xf numFmtId="166" fontId="8" fillId="0" borderId="11" xfId="0" applyNumberFormat="1" applyFont="1" applyBorder="1" applyAlignment="1">
      <alignment horizontal="center" vertical="center" wrapText="1"/>
    </xf>
    <xf numFmtId="167" fontId="8" fillId="0" borderId="11" xfId="0" applyNumberFormat="1" applyFont="1" applyBorder="1" applyAlignment="1">
      <alignment horizontal="center" vertical="center" wrapText="1"/>
    </xf>
    <xf numFmtId="0" fontId="11" fillId="0" borderId="14" xfId="0" applyFont="1" applyBorder="1" applyAlignment="1">
      <alignment horizontal="center" vertical="center" wrapText="1"/>
    </xf>
    <xf numFmtId="166" fontId="8" fillId="0" borderId="14" xfId="0" applyNumberFormat="1" applyFont="1" applyBorder="1" applyAlignment="1">
      <alignment horizontal="center" vertical="center" wrapText="1"/>
    </xf>
    <xf numFmtId="167" fontId="8" fillId="0" borderId="14" xfId="0" applyNumberFormat="1" applyFont="1" applyBorder="1" applyAlignment="1">
      <alignment horizontal="center" vertical="center" wrapText="1"/>
    </xf>
    <xf numFmtId="0" fontId="8" fillId="0" borderId="6" xfId="0" applyFont="1" applyBorder="1" applyAlignment="1">
      <alignment vertical="center" wrapText="1"/>
    </xf>
    <xf numFmtId="0" fontId="8" fillId="0" borderId="8" xfId="0" applyFont="1" applyBorder="1" applyAlignment="1">
      <alignment vertical="center" wrapText="1"/>
    </xf>
    <xf numFmtId="167" fontId="13" fillId="0" borderId="23" xfId="0" applyNumberFormat="1" applyFont="1" applyBorder="1" applyAlignment="1">
      <alignment horizontal="center" vertical="center" wrapText="1"/>
    </xf>
    <xf numFmtId="167" fontId="13" fillId="0" borderId="14" xfId="0" applyNumberFormat="1" applyFont="1" applyBorder="1" applyAlignment="1">
      <alignment horizontal="center" vertical="center" wrapText="1"/>
    </xf>
    <xf numFmtId="167" fontId="8" fillId="0" borderId="43" xfId="0" applyNumberFormat="1" applyFont="1" applyBorder="1" applyAlignment="1">
      <alignment horizontal="center" vertical="center" wrapText="1"/>
    </xf>
    <xf numFmtId="167" fontId="8" fillId="0" borderId="39" xfId="0" applyNumberFormat="1" applyFont="1" applyBorder="1" applyAlignment="1">
      <alignment horizontal="center" vertical="center" wrapText="1"/>
    </xf>
    <xf numFmtId="0" fontId="4" fillId="0" borderId="42"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2" fontId="4" fillId="0" borderId="11" xfId="0" applyNumberFormat="1" applyFont="1" applyBorder="1" applyAlignment="1">
      <alignment horizontal="center" vertical="center"/>
    </xf>
    <xf numFmtId="2" fontId="4" fillId="0" borderId="14" xfId="0" applyNumberFormat="1" applyFont="1" applyBorder="1" applyAlignment="1">
      <alignment horizontal="center" vertical="center"/>
    </xf>
    <xf numFmtId="2" fontId="4" fillId="0" borderId="23" xfId="0" applyNumberFormat="1" applyFont="1" applyBorder="1" applyAlignment="1">
      <alignment horizontal="center" vertical="center"/>
    </xf>
    <xf numFmtId="2" fontId="4" fillId="0" borderId="34" xfId="0" applyNumberFormat="1" applyFont="1" applyBorder="1" applyAlignment="1">
      <alignment horizontal="center" vertical="center"/>
    </xf>
    <xf numFmtId="0" fontId="8" fillId="0" borderId="29" xfId="0" applyFont="1" applyBorder="1" applyAlignment="1">
      <alignment horizontal="center" vertical="center" wrapText="1"/>
    </xf>
    <xf numFmtId="1" fontId="11" fillId="0" borderId="34" xfId="0" applyNumberFormat="1" applyFont="1" applyBorder="1" applyAlignment="1">
      <alignment horizontal="center" vertical="center" shrinkToFit="1"/>
    </xf>
    <xf numFmtId="0" fontId="8" fillId="0" borderId="29" xfId="0" applyFont="1" applyBorder="1" applyAlignment="1">
      <alignment vertical="center" wrapText="1"/>
    </xf>
    <xf numFmtId="0" fontId="4" fillId="4" borderId="11" xfId="0" applyFont="1" applyFill="1" applyBorder="1" applyAlignment="1">
      <alignment horizontal="center" vertical="center"/>
    </xf>
    <xf numFmtId="0" fontId="4" fillId="4" borderId="43" xfId="0" applyFont="1" applyFill="1" applyBorder="1" applyAlignment="1">
      <alignment horizontal="center" vertical="center"/>
    </xf>
    <xf numFmtId="168" fontId="4" fillId="0" borderId="23" xfId="0" applyNumberFormat="1" applyFont="1" applyBorder="1" applyAlignment="1">
      <alignment horizontal="center" vertical="center"/>
    </xf>
    <xf numFmtId="168" fontId="4" fillId="0" borderId="11" xfId="0" applyNumberFormat="1" applyFont="1" applyBorder="1" applyAlignment="1">
      <alignment horizontal="center" vertical="center"/>
    </xf>
    <xf numFmtId="168" fontId="4" fillId="0" borderId="14" xfId="0" applyNumberFormat="1" applyFont="1" applyBorder="1" applyAlignment="1">
      <alignment horizontal="center" vertical="center"/>
    </xf>
    <xf numFmtId="0" fontId="17" fillId="0" borderId="6" xfId="0" applyFont="1" applyBorder="1" applyAlignment="1">
      <alignment horizontal="center" vertical="center" wrapText="1"/>
    </xf>
    <xf numFmtId="168" fontId="17" fillId="0" borderId="6" xfId="0" applyNumberFormat="1" applyFont="1" applyBorder="1" applyAlignment="1">
      <alignment horizontal="center" vertical="center" wrapText="1"/>
    </xf>
    <xf numFmtId="166" fontId="17" fillId="0" borderId="6" xfId="0" applyNumberFormat="1" applyFont="1" applyBorder="1" applyAlignment="1">
      <alignment horizontal="center" vertical="center" wrapText="1"/>
    </xf>
    <xf numFmtId="0" fontId="7" fillId="0" borderId="11" xfId="0" applyFont="1" applyBorder="1" applyAlignment="1">
      <alignment horizontal="center" vertical="center" wrapText="1"/>
    </xf>
    <xf numFmtId="0" fontId="17" fillId="0" borderId="11" xfId="0" applyFont="1" applyBorder="1" applyAlignment="1">
      <alignment horizontal="center" vertical="center" wrapText="1"/>
    </xf>
    <xf numFmtId="168" fontId="17" fillId="0" borderId="11" xfId="0" applyNumberFormat="1" applyFont="1" applyBorder="1" applyAlignment="1">
      <alignment horizontal="center" vertical="center" wrapText="1"/>
    </xf>
    <xf numFmtId="166" fontId="17" fillId="0" borderId="11" xfId="0" applyNumberFormat="1" applyFont="1" applyBorder="1" applyAlignment="1">
      <alignment horizontal="center" vertical="center" wrapText="1"/>
    </xf>
    <xf numFmtId="167" fontId="17" fillId="0" borderId="43" xfId="0" applyNumberFormat="1" applyFont="1" applyBorder="1" applyAlignment="1">
      <alignment horizontal="center" vertical="center" wrapText="1"/>
    </xf>
    <xf numFmtId="0" fontId="7" fillId="0" borderId="14" xfId="0" applyFont="1" applyBorder="1" applyAlignment="1">
      <alignment horizontal="center" vertical="center" wrapText="1"/>
    </xf>
    <xf numFmtId="0" fontId="17" fillId="0" borderId="14" xfId="0" applyFont="1" applyBorder="1" applyAlignment="1">
      <alignment horizontal="center" vertical="center" wrapText="1"/>
    </xf>
    <xf numFmtId="168" fontId="17" fillId="0" borderId="14" xfId="0" applyNumberFormat="1" applyFont="1" applyBorder="1" applyAlignment="1">
      <alignment horizontal="center" vertical="center" wrapText="1"/>
    </xf>
    <xf numFmtId="166" fontId="17" fillId="0" borderId="14" xfId="0" applyNumberFormat="1" applyFont="1" applyBorder="1" applyAlignment="1">
      <alignment horizontal="center" vertical="center" wrapText="1"/>
    </xf>
    <xf numFmtId="167" fontId="17" fillId="0" borderId="39" xfId="0" applyNumberFormat="1" applyFont="1" applyBorder="1" applyAlignment="1">
      <alignment horizontal="center" vertical="center" wrapText="1"/>
    </xf>
    <xf numFmtId="0" fontId="17" fillId="0" borderId="23" xfId="0" applyFont="1" applyBorder="1" applyAlignment="1">
      <alignment horizontal="center" vertical="center" wrapText="1"/>
    </xf>
    <xf numFmtId="0" fontId="19" fillId="0" borderId="23" xfId="0" applyFont="1" applyBorder="1" applyAlignment="1">
      <alignment horizontal="center" vertical="center" wrapText="1"/>
    </xf>
    <xf numFmtId="15" fontId="19" fillId="0" borderId="23" xfId="0" applyNumberFormat="1" applyFont="1" applyBorder="1" applyAlignment="1">
      <alignment horizontal="center" vertical="center"/>
    </xf>
    <xf numFmtId="166" fontId="19" fillId="0" borderId="23" xfId="0" applyNumberFormat="1" applyFont="1" applyBorder="1" applyAlignment="1">
      <alignment horizontal="center" vertical="center"/>
    </xf>
    <xf numFmtId="15" fontId="19" fillId="0" borderId="11" xfId="0" applyNumberFormat="1" applyFont="1" applyBorder="1" applyAlignment="1">
      <alignment horizontal="center" vertical="center"/>
    </xf>
    <xf numFmtId="166" fontId="19" fillId="0" borderId="11" xfId="0" applyNumberFormat="1" applyFont="1" applyBorder="1" applyAlignment="1">
      <alignment horizontal="center" vertical="center"/>
    </xf>
    <xf numFmtId="168" fontId="19" fillId="0" borderId="11" xfId="0" applyNumberFormat="1" applyFont="1" applyBorder="1" applyAlignment="1">
      <alignment horizontal="center" vertical="center"/>
    </xf>
    <xf numFmtId="0" fontId="19" fillId="0" borderId="14" xfId="0" applyFont="1" applyBorder="1" applyAlignment="1">
      <alignment horizontal="center" vertical="center" wrapText="1"/>
    </xf>
    <xf numFmtId="15" fontId="19" fillId="0" borderId="14" xfId="0" applyNumberFormat="1" applyFont="1" applyBorder="1" applyAlignment="1">
      <alignment horizontal="center" vertical="center"/>
    </xf>
    <xf numFmtId="168" fontId="19" fillId="0" borderId="14" xfId="0" applyNumberFormat="1" applyFont="1" applyBorder="1" applyAlignment="1">
      <alignment horizontal="center" vertical="center"/>
    </xf>
    <xf numFmtId="166" fontId="19" fillId="0" borderId="14" xfId="0" applyNumberFormat="1" applyFont="1" applyBorder="1" applyAlignment="1">
      <alignment horizontal="center" vertical="center"/>
    </xf>
    <xf numFmtId="15" fontId="19" fillId="0" borderId="23" xfId="0" applyNumberFormat="1" applyFont="1" applyBorder="1" applyAlignment="1">
      <alignment horizontal="center" vertical="center" wrapText="1"/>
    </xf>
    <xf numFmtId="164" fontId="19" fillId="0" borderId="23" xfId="0" applyNumberFormat="1" applyFont="1" applyBorder="1" applyAlignment="1">
      <alignment horizontal="center" vertical="center"/>
    </xf>
    <xf numFmtId="2" fontId="19" fillId="0" borderId="23" xfId="0" applyNumberFormat="1" applyFont="1" applyBorder="1" applyAlignment="1">
      <alignment horizontal="center" vertical="center"/>
    </xf>
    <xf numFmtId="168" fontId="19" fillId="0" borderId="23" xfId="0" applyNumberFormat="1" applyFont="1" applyBorder="1" applyAlignment="1">
      <alignment horizontal="center" vertical="center"/>
    </xf>
    <xf numFmtId="0" fontId="20" fillId="0" borderId="23" xfId="0" applyFont="1" applyBorder="1" applyAlignment="1">
      <alignment horizontal="center" vertical="center"/>
    </xf>
    <xf numFmtId="164"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164" fontId="19" fillId="0" borderId="14" xfId="0" applyNumberFormat="1" applyFont="1" applyBorder="1" applyAlignment="1">
      <alignment horizontal="center" vertical="center"/>
    </xf>
    <xf numFmtId="2" fontId="19" fillId="0" borderId="14" xfId="0" applyNumberFormat="1" applyFont="1" applyBorder="1" applyAlignment="1">
      <alignment horizontal="center" vertical="center"/>
    </xf>
    <xf numFmtId="15" fontId="19" fillId="0" borderId="14" xfId="0" applyNumberFormat="1" applyFont="1" applyBorder="1" applyAlignment="1">
      <alignment horizontal="center" vertical="center" wrapText="1"/>
    </xf>
    <xf numFmtId="0" fontId="20" fillId="0" borderId="14" xfId="0" applyFont="1" applyBorder="1" applyAlignment="1">
      <alignment horizontal="center" vertical="center"/>
    </xf>
    <xf numFmtId="168" fontId="4" fillId="0" borderId="0" xfId="0" applyNumberFormat="1" applyFont="1" applyAlignment="1">
      <alignment horizontal="center" vertical="center"/>
    </xf>
    <xf numFmtId="166" fontId="17" fillId="0" borderId="23" xfId="0" applyNumberFormat="1" applyFont="1" applyBorder="1" applyAlignment="1">
      <alignment horizontal="center" vertical="center" wrapText="1"/>
    </xf>
    <xf numFmtId="168" fontId="17" fillId="0" borderId="23" xfId="0" applyNumberFormat="1" applyFont="1" applyBorder="1" applyAlignment="1">
      <alignment horizontal="center" vertical="center" wrapText="1"/>
    </xf>
    <xf numFmtId="167" fontId="17" fillId="0" borderId="42" xfId="0" applyNumberFormat="1" applyFont="1" applyBorder="1" applyAlignment="1">
      <alignment horizontal="center" vertical="center" wrapText="1"/>
    </xf>
    <xf numFmtId="0" fontId="4" fillId="0" borderId="55" xfId="0" applyFont="1" applyBorder="1" applyAlignment="1">
      <alignment horizontal="center" vertical="center"/>
    </xf>
    <xf numFmtId="0" fontId="4" fillId="0" borderId="70" xfId="0" applyFont="1" applyBorder="1" applyAlignment="1">
      <alignment horizontal="center" vertical="center"/>
    </xf>
    <xf numFmtId="0" fontId="4" fillId="0" borderId="56" xfId="0" applyFont="1" applyBorder="1" applyAlignment="1">
      <alignment horizontal="center" vertical="center"/>
    </xf>
    <xf numFmtId="164" fontId="19" fillId="0" borderId="34" xfId="0" applyNumberFormat="1" applyFont="1" applyBorder="1" applyAlignment="1">
      <alignment horizontal="center" vertical="center"/>
    </xf>
    <xf numFmtId="2" fontId="19" fillId="0" borderId="34" xfId="0" applyNumberFormat="1" applyFont="1" applyBorder="1" applyAlignment="1">
      <alignment horizontal="center" vertical="center"/>
    </xf>
    <xf numFmtId="168" fontId="19" fillId="0" borderId="34" xfId="0" applyNumberFormat="1" applyFont="1" applyBorder="1" applyAlignment="1">
      <alignment horizontal="center" vertical="center"/>
    </xf>
    <xf numFmtId="168" fontId="4" fillId="0" borderId="34" xfId="0" applyNumberFormat="1" applyFont="1" applyBorder="1" applyAlignment="1">
      <alignment horizontal="center" vertical="center"/>
    </xf>
    <xf numFmtId="168" fontId="8" fillId="0" borderId="6" xfId="0" applyNumberFormat="1" applyFont="1" applyBorder="1" applyAlignment="1">
      <alignment horizontal="center" vertical="center" wrapText="1"/>
    </xf>
    <xf numFmtId="168" fontId="8" fillId="0" borderId="11" xfId="0" applyNumberFormat="1" applyFont="1" applyBorder="1" applyAlignment="1">
      <alignment horizontal="center" vertical="center" wrapText="1"/>
    </xf>
    <xf numFmtId="0" fontId="13" fillId="2" borderId="11" xfId="0" applyFont="1" applyFill="1" applyBorder="1" applyAlignment="1">
      <alignment horizontal="center" vertical="center"/>
    </xf>
    <xf numFmtId="166" fontId="8" fillId="0" borderId="23" xfId="0" applyNumberFormat="1" applyFont="1" applyBorder="1" applyAlignment="1">
      <alignment horizontal="center" vertical="center" wrapText="1"/>
    </xf>
    <xf numFmtId="168" fontId="8" fillId="0" borderId="23" xfId="0" applyNumberFormat="1" applyFont="1" applyBorder="1" applyAlignment="1">
      <alignment horizontal="center" vertical="center" wrapText="1"/>
    </xf>
    <xf numFmtId="167" fontId="8" fillId="0" borderId="42" xfId="0" applyNumberFormat="1" applyFont="1" applyBorder="1" applyAlignment="1">
      <alignment horizontal="center" vertical="center" wrapText="1"/>
    </xf>
    <xf numFmtId="2" fontId="13" fillId="0" borderId="23" xfId="0" applyNumberFormat="1" applyFont="1" applyBorder="1" applyAlignment="1">
      <alignment horizontal="center" vertical="center"/>
    </xf>
    <xf numFmtId="0" fontId="13" fillId="0" borderId="23" xfId="0" applyFont="1" applyBorder="1" applyAlignment="1">
      <alignment horizontal="center" vertical="center"/>
    </xf>
    <xf numFmtId="0" fontId="13" fillId="0" borderId="42" xfId="0" applyFont="1" applyBorder="1" applyAlignment="1">
      <alignment horizontal="center" vertical="center"/>
    </xf>
    <xf numFmtId="0" fontId="13" fillId="0" borderId="55" xfId="0" applyFont="1" applyBorder="1" applyAlignment="1">
      <alignment horizontal="center" vertical="center"/>
    </xf>
    <xf numFmtId="2" fontId="13" fillId="0" borderId="11" xfId="0" applyNumberFormat="1" applyFont="1" applyBorder="1" applyAlignment="1">
      <alignment horizontal="center" vertical="center"/>
    </xf>
    <xf numFmtId="0" fontId="13" fillId="0" borderId="11" xfId="0" applyFont="1" applyBorder="1" applyAlignment="1">
      <alignment horizontal="center" vertical="center"/>
    </xf>
    <xf numFmtId="0" fontId="13" fillId="0" borderId="43" xfId="0" applyFont="1" applyBorder="1" applyAlignment="1">
      <alignment horizontal="center" vertical="center"/>
    </xf>
    <xf numFmtId="0" fontId="13" fillId="0" borderId="70" xfId="0" applyFont="1" applyBorder="1" applyAlignment="1">
      <alignment horizontal="center" vertical="center"/>
    </xf>
    <xf numFmtId="168" fontId="8" fillId="0" borderId="14" xfId="0" applyNumberFormat="1" applyFont="1" applyBorder="1" applyAlignment="1">
      <alignment horizontal="center" vertical="center" wrapText="1"/>
    </xf>
    <xf numFmtId="0" fontId="13" fillId="2" borderId="14" xfId="0" applyFont="1" applyFill="1" applyBorder="1" applyAlignment="1">
      <alignment horizontal="center" vertical="center"/>
    </xf>
    <xf numFmtId="2"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0" fontId="13" fillId="0" borderId="39" xfId="0" applyFont="1" applyBorder="1" applyAlignment="1">
      <alignment horizontal="center" vertical="center"/>
    </xf>
    <xf numFmtId="0" fontId="13" fillId="0" borderId="56" xfId="0" applyFont="1" applyBorder="1" applyAlignment="1">
      <alignment horizontal="center" vertical="center"/>
    </xf>
    <xf numFmtId="166" fontId="13" fillId="0" borderId="11" xfId="0" applyNumberFormat="1" applyFont="1" applyBorder="1" applyAlignment="1">
      <alignment horizontal="center" vertical="center"/>
    </xf>
    <xf numFmtId="167" fontId="13" fillId="0" borderId="11" xfId="0" applyNumberFormat="1" applyFont="1" applyBorder="1" applyAlignment="1">
      <alignment horizontal="center" vertical="center"/>
    </xf>
    <xf numFmtId="0" fontId="13" fillId="0" borderId="0" xfId="0" applyFont="1" applyAlignment="1">
      <alignment horizontal="left" vertical="top"/>
    </xf>
    <xf numFmtId="166" fontId="13" fillId="0" borderId="14" xfId="0" applyNumberFormat="1" applyFont="1" applyBorder="1" applyAlignment="1">
      <alignment horizontal="center" vertical="center"/>
    </xf>
    <xf numFmtId="168" fontId="12" fillId="0" borderId="11" xfId="0" applyNumberFormat="1" applyFont="1" applyBorder="1" applyAlignment="1">
      <alignment horizontal="center" vertical="center"/>
    </xf>
    <xf numFmtId="2" fontId="13" fillId="0" borderId="34" xfId="0" applyNumberFormat="1" applyFont="1" applyBorder="1" applyAlignment="1">
      <alignment horizontal="center" vertical="center"/>
    </xf>
    <xf numFmtId="166" fontId="13" fillId="0" borderId="23" xfId="0" applyNumberFormat="1" applyFont="1" applyBorder="1" applyAlignment="1">
      <alignment horizontal="center" vertical="center"/>
    </xf>
    <xf numFmtId="167" fontId="13" fillId="0" borderId="23" xfId="0" applyNumberFormat="1" applyFont="1" applyBorder="1" applyAlignment="1">
      <alignment horizontal="center" vertical="center"/>
    </xf>
    <xf numFmtId="0" fontId="8" fillId="0" borderId="1" xfId="0" applyFont="1" applyBorder="1" applyAlignment="1">
      <alignment horizontal="center" vertical="center" wrapText="1"/>
    </xf>
    <xf numFmtId="0" fontId="13" fillId="3" borderId="11" xfId="0" applyFont="1" applyFill="1" applyBorder="1" applyAlignment="1">
      <alignment horizontal="center" vertical="center"/>
    </xf>
    <xf numFmtId="0" fontId="13" fillId="4" borderId="14" xfId="0"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165" fontId="13" fillId="0" borderId="2" xfId="0" applyNumberFormat="1" applyFont="1" applyBorder="1" applyAlignment="1">
      <alignment horizontal="center" vertical="center" shrinkToFit="1"/>
    </xf>
    <xf numFmtId="0" fontId="12" fillId="0" borderId="3" xfId="0" applyFont="1" applyBorder="1" applyAlignment="1">
      <alignment horizontal="center" vertical="center" wrapText="1"/>
    </xf>
    <xf numFmtId="0" fontId="13" fillId="4" borderId="14" xfId="0" applyFont="1" applyFill="1" applyBorder="1" applyAlignment="1">
      <alignment horizontal="center" vertical="center" wrapText="1"/>
    </xf>
    <xf numFmtId="0" fontId="13" fillId="0" borderId="0" xfId="0" applyFont="1" applyAlignment="1">
      <alignment horizontal="center" vertical="center"/>
    </xf>
    <xf numFmtId="15" fontId="12" fillId="0" borderId="11" xfId="0" applyNumberFormat="1" applyFont="1" applyBorder="1" applyAlignment="1">
      <alignment horizontal="center" vertical="center"/>
    </xf>
    <xf numFmtId="164" fontId="12" fillId="0" borderId="11" xfId="0" applyNumberFormat="1" applyFont="1" applyBorder="1" applyAlignment="1">
      <alignment horizontal="center" vertical="center"/>
    </xf>
    <xf numFmtId="166" fontId="12" fillId="0" borderId="11" xfId="0" applyNumberFormat="1" applyFont="1" applyBorder="1" applyAlignment="1">
      <alignment horizontal="center" vertical="center"/>
    </xf>
    <xf numFmtId="0" fontId="8" fillId="0" borderId="18" xfId="0" applyFont="1" applyBorder="1" applyAlignment="1">
      <alignment horizontal="center" vertical="top" wrapText="1"/>
    </xf>
    <xf numFmtId="0" fontId="8" fillId="0" borderId="19" xfId="0" applyFont="1" applyBorder="1" applyAlignment="1">
      <alignment horizontal="center" vertical="top" wrapText="1"/>
    </xf>
    <xf numFmtId="15" fontId="12" fillId="0" borderId="19" xfId="0" applyNumberFormat="1" applyFont="1" applyBorder="1" applyAlignment="1">
      <alignment horizontal="center" vertical="center"/>
    </xf>
    <xf numFmtId="164" fontId="12" fillId="0" borderId="19" xfId="0" applyNumberFormat="1" applyFont="1" applyBorder="1" applyAlignment="1">
      <alignment horizontal="center" vertical="center"/>
    </xf>
    <xf numFmtId="2" fontId="12" fillId="0" borderId="19" xfId="0" applyNumberFormat="1" applyFont="1" applyBorder="1" applyAlignment="1">
      <alignment horizontal="center" vertical="center"/>
    </xf>
    <xf numFmtId="166" fontId="12" fillId="0" borderId="19" xfId="0" applyNumberFormat="1" applyFont="1" applyBorder="1" applyAlignment="1">
      <alignment horizontal="center" vertical="center"/>
    </xf>
    <xf numFmtId="166" fontId="12" fillId="0" borderId="19" xfId="0" applyNumberFormat="1" applyFont="1" applyBorder="1" applyAlignment="1">
      <alignment horizontal="left" vertical="top" wrapText="1"/>
    </xf>
    <xf numFmtId="0" fontId="12" fillId="0" borderId="20" xfId="0" applyFont="1" applyBorder="1" applyAlignment="1">
      <alignment horizontal="left" vertical="top" wrapText="1"/>
    </xf>
    <xf numFmtId="15" fontId="12" fillId="0" borderId="16" xfId="0" applyNumberFormat="1" applyFont="1" applyBorder="1" applyAlignment="1">
      <alignment horizontal="center" vertical="center"/>
    </xf>
    <xf numFmtId="166" fontId="12" fillId="0" borderId="16" xfId="0" applyNumberFormat="1" applyFont="1" applyBorder="1" applyAlignment="1">
      <alignment horizontal="center" vertical="center"/>
    </xf>
    <xf numFmtId="0" fontId="8" fillId="0" borderId="49" xfId="0" applyFont="1" applyBorder="1" applyAlignment="1">
      <alignment horizontal="center" vertical="top" wrapText="1"/>
    </xf>
    <xf numFmtId="0" fontId="8" fillId="0" borderId="50" xfId="0" applyFont="1" applyBorder="1" applyAlignment="1">
      <alignment horizontal="center" vertical="top" wrapText="1"/>
    </xf>
    <xf numFmtId="0" fontId="12" fillId="0" borderId="50" xfId="0" applyFont="1" applyBorder="1" applyAlignment="1">
      <alignment horizontal="center" vertical="top" wrapText="1"/>
    </xf>
    <xf numFmtId="15" fontId="12" fillId="0" borderId="50" xfId="0" applyNumberFormat="1" applyFont="1" applyBorder="1" applyAlignment="1">
      <alignment horizontal="center" vertical="center" wrapText="1"/>
    </xf>
    <xf numFmtId="15" fontId="12" fillId="0" borderId="50" xfId="0" applyNumberFormat="1" applyFont="1" applyBorder="1" applyAlignment="1">
      <alignment horizontal="center" vertical="center"/>
    </xf>
    <xf numFmtId="164" fontId="12" fillId="0" borderId="50" xfId="0" applyNumberFormat="1" applyFont="1" applyBorder="1" applyAlignment="1">
      <alignment horizontal="center" vertical="center"/>
    </xf>
    <xf numFmtId="2" fontId="12" fillId="0" borderId="50" xfId="0" applyNumberFormat="1" applyFont="1" applyBorder="1" applyAlignment="1">
      <alignment horizontal="center" vertical="center"/>
    </xf>
    <xf numFmtId="169" fontId="12" fillId="0" borderId="50" xfId="0" applyNumberFormat="1" applyFont="1" applyBorder="1" applyAlignment="1">
      <alignment horizontal="center" vertical="center"/>
    </xf>
    <xf numFmtId="0" fontId="24" fillId="0" borderId="50" xfId="0" applyFont="1" applyBorder="1" applyAlignment="1">
      <alignment horizontal="center" vertical="center"/>
    </xf>
    <xf numFmtId="166" fontId="12" fillId="0" borderId="50" xfId="0" applyNumberFormat="1" applyFont="1" applyBorder="1" applyAlignment="1">
      <alignment horizontal="center" vertical="center"/>
    </xf>
    <xf numFmtId="166" fontId="12" fillId="0" borderId="50" xfId="0" applyNumberFormat="1" applyFont="1" applyBorder="1" applyAlignment="1">
      <alignment horizontal="left" vertical="top" wrapText="1"/>
    </xf>
    <xf numFmtId="0" fontId="12" fillId="0" borderId="53" xfId="0" applyFont="1" applyBorder="1" applyAlignment="1">
      <alignment horizontal="left" vertical="top" wrapText="1"/>
    </xf>
    <xf numFmtId="15" fontId="12" fillId="0" borderId="23" xfId="0" applyNumberFormat="1" applyFont="1" applyBorder="1" applyAlignment="1">
      <alignment horizontal="center" vertical="center"/>
    </xf>
    <xf numFmtId="169" fontId="12" fillId="0" borderId="23" xfId="0" applyNumberFormat="1" applyFont="1" applyBorder="1" applyAlignment="1">
      <alignment horizontal="center" vertical="center"/>
    </xf>
    <xf numFmtId="166" fontId="12" fillId="0" borderId="23" xfId="0" applyNumberFormat="1" applyFont="1" applyBorder="1" applyAlignment="1">
      <alignment horizontal="center" vertical="center"/>
    </xf>
    <xf numFmtId="0" fontId="12" fillId="0" borderId="19" xfId="0" applyFont="1" applyBorder="1" applyAlignment="1">
      <alignment horizontal="center" vertical="top" wrapText="1"/>
    </xf>
    <xf numFmtId="15" fontId="12" fillId="0" borderId="19" xfId="0" applyNumberFormat="1" applyFont="1" applyBorder="1" applyAlignment="1">
      <alignment horizontal="center" vertical="center" wrapText="1"/>
    </xf>
    <xf numFmtId="0" fontId="24" fillId="0" borderId="19" xfId="0" applyFont="1" applyBorder="1" applyAlignment="1">
      <alignment horizontal="center" vertical="center"/>
    </xf>
    <xf numFmtId="0" fontId="13" fillId="0" borderId="11" xfId="0" applyFont="1" applyBorder="1" applyAlignment="1">
      <alignment horizontal="left" vertical="top"/>
    </xf>
    <xf numFmtId="0" fontId="13" fillId="4" borderId="11" xfId="0" applyFont="1" applyFill="1" applyBorder="1" applyAlignment="1">
      <alignment horizontal="center" vertical="center"/>
    </xf>
    <xf numFmtId="0" fontId="13" fillId="0" borderId="54" xfId="0" applyFont="1" applyBorder="1" applyAlignment="1">
      <alignment horizontal="left" vertical="top"/>
    </xf>
    <xf numFmtId="168" fontId="12" fillId="0" borderId="14" xfId="0" applyNumberFormat="1" applyFont="1" applyBorder="1" applyAlignment="1">
      <alignment horizontal="center" vertical="center"/>
    </xf>
    <xf numFmtId="168" fontId="12" fillId="0" borderId="23" xfId="0" applyNumberFormat="1" applyFont="1" applyBorder="1" applyAlignment="1">
      <alignment horizontal="center" vertical="center"/>
    </xf>
    <xf numFmtId="0" fontId="25" fillId="0" borderId="0" xfId="0" applyFont="1" applyAlignment="1">
      <alignment horizontal="left" vertical="top"/>
    </xf>
    <xf numFmtId="0" fontId="11" fillId="0" borderId="41" xfId="0" applyFont="1" applyBorder="1" applyAlignment="1">
      <alignment horizontal="center" vertical="center" wrapText="1"/>
    </xf>
    <xf numFmtId="167" fontId="13" fillId="0" borderId="14" xfId="0" applyNumberFormat="1" applyFont="1" applyBorder="1" applyAlignment="1">
      <alignment horizontal="center" vertical="center"/>
    </xf>
    <xf numFmtId="0" fontId="24" fillId="0" borderId="11" xfId="0" applyFont="1" applyBorder="1" applyAlignment="1">
      <alignment horizontal="center" vertical="center"/>
    </xf>
    <xf numFmtId="0" fontId="24" fillId="0" borderId="23" xfId="0" applyFont="1" applyBorder="1" applyAlignment="1">
      <alignment horizontal="center" vertical="center"/>
    </xf>
    <xf numFmtId="0" fontId="23" fillId="0" borderId="11" xfId="0" applyFont="1" applyBorder="1" applyAlignment="1">
      <alignment horizontal="center" vertical="center"/>
    </xf>
    <xf numFmtId="166" fontId="23" fillId="0" borderId="11" xfId="0" applyNumberFormat="1" applyFont="1" applyBorder="1" applyAlignment="1">
      <alignment horizontal="center" vertical="center"/>
    </xf>
    <xf numFmtId="166" fontId="23" fillId="0" borderId="14" xfId="0" applyNumberFormat="1" applyFont="1" applyBorder="1" applyAlignment="1">
      <alignment horizontal="center" vertical="center"/>
    </xf>
    <xf numFmtId="0" fontId="13" fillId="2" borderId="23" xfId="0" applyFont="1" applyFill="1" applyBorder="1" applyAlignment="1">
      <alignment horizontal="center" vertical="center"/>
    </xf>
    <xf numFmtId="0" fontId="0" fillId="0" borderId="11" xfId="0" applyBorder="1" applyAlignment="1">
      <alignment horizontal="left" vertical="top"/>
    </xf>
    <xf numFmtId="0" fontId="23" fillId="0" borderId="14" xfId="0" applyFont="1" applyBorder="1" applyAlignment="1">
      <alignment horizontal="center" vertical="center"/>
    </xf>
    <xf numFmtId="0" fontId="13" fillId="0" borderId="23" xfId="0" applyFont="1" applyBorder="1" applyAlignment="1">
      <alignment horizontal="left" vertical="top"/>
    </xf>
    <xf numFmtId="0" fontId="13" fillId="0" borderId="71" xfId="0" applyFont="1" applyBorder="1" applyAlignment="1">
      <alignment horizontal="left" vertical="top"/>
    </xf>
    <xf numFmtId="0" fontId="0" fillId="0" borderId="14" xfId="0" applyBorder="1" applyAlignment="1">
      <alignment horizontal="left" vertical="top"/>
    </xf>
    <xf numFmtId="0" fontId="0" fillId="0" borderId="54" xfId="0" applyBorder="1" applyAlignment="1">
      <alignment horizontal="left" vertical="top"/>
    </xf>
    <xf numFmtId="0" fontId="24" fillId="0" borderId="34" xfId="0" applyFont="1" applyBorder="1" applyAlignment="1">
      <alignment horizontal="center" vertical="center"/>
    </xf>
    <xf numFmtId="166" fontId="12" fillId="0" borderId="34" xfId="0" applyNumberFormat="1" applyFont="1" applyBorder="1" applyAlignment="1">
      <alignment horizontal="center" vertical="center"/>
    </xf>
    <xf numFmtId="0" fontId="13" fillId="3" borderId="14" xfId="0" applyFont="1" applyFill="1" applyBorder="1" applyAlignment="1">
      <alignment horizontal="center" vertical="center"/>
    </xf>
    <xf numFmtId="0" fontId="8" fillId="0" borderId="8" xfId="0" applyFont="1" applyBorder="1" applyAlignment="1">
      <alignment horizontal="center" vertical="center" wrapText="1"/>
    </xf>
    <xf numFmtId="166" fontId="0" fillId="0" borderId="0" xfId="0" applyNumberFormat="1" applyAlignment="1">
      <alignment horizontal="left" vertical="top"/>
    </xf>
    <xf numFmtId="167" fontId="13" fillId="3" borderId="11" xfId="0" applyNumberFormat="1" applyFont="1" applyFill="1" applyBorder="1" applyAlignment="1">
      <alignment horizontal="center" vertical="center"/>
    </xf>
    <xf numFmtId="0" fontId="13" fillId="0" borderId="40" xfId="0" applyFont="1" applyBorder="1" applyAlignment="1">
      <alignment horizontal="center" vertical="center"/>
    </xf>
    <xf numFmtId="167" fontId="13" fillId="3" borderId="14" xfId="0" applyNumberFormat="1" applyFont="1" applyFill="1" applyBorder="1" applyAlignment="1">
      <alignment horizontal="center" vertical="center"/>
    </xf>
    <xf numFmtId="168" fontId="8" fillId="0" borderId="8" xfId="0" applyNumberFormat="1" applyFont="1" applyBorder="1" applyAlignment="1">
      <alignment horizontal="center" vertical="center" wrapText="1"/>
    </xf>
    <xf numFmtId="166" fontId="8" fillId="0" borderId="13" xfId="0" applyNumberFormat="1" applyFont="1" applyBorder="1" applyAlignment="1">
      <alignment horizontal="center" vertical="center" wrapText="1"/>
    </xf>
    <xf numFmtId="0" fontId="30" fillId="0" borderId="0" xfId="2" applyFont="1" applyAlignment="1">
      <alignment horizontal="center" vertical="center" wrapText="1"/>
    </xf>
    <xf numFmtId="0" fontId="32" fillId="0" borderId="49" xfId="3" applyFont="1" applyFill="1" applyBorder="1" applyAlignment="1" applyProtection="1">
      <alignment horizontal="center" vertical="center" wrapText="1"/>
      <protection locked="0"/>
    </xf>
    <xf numFmtId="0" fontId="32" fillId="0" borderId="50" xfId="3" applyFont="1" applyFill="1" applyBorder="1" applyAlignment="1" applyProtection="1">
      <alignment horizontal="center" vertical="center" wrapText="1"/>
      <protection locked="0"/>
    </xf>
    <xf numFmtId="0" fontId="33" fillId="0" borderId="50" xfId="2" applyFont="1" applyBorder="1" applyAlignment="1">
      <alignment horizontal="center" vertical="center" wrapText="1"/>
    </xf>
    <xf numFmtId="0" fontId="34" fillId="0" borderId="50" xfId="2" applyFont="1" applyBorder="1" applyAlignment="1">
      <alignment horizontal="center" vertical="center" wrapText="1"/>
    </xf>
    <xf numFmtId="0" fontId="32" fillId="0" borderId="50" xfId="2" applyFont="1" applyBorder="1" applyAlignment="1" applyProtection="1">
      <alignment horizontal="center" vertical="center" wrapText="1"/>
      <protection locked="0"/>
    </xf>
    <xf numFmtId="0" fontId="32" fillId="0" borderId="50" xfId="2" applyFont="1" applyBorder="1" applyAlignment="1">
      <alignment horizontal="center" vertical="center" wrapText="1"/>
    </xf>
    <xf numFmtId="15" fontId="39" fillId="0" borderId="16" xfId="2" applyNumberFormat="1" applyFont="1" applyBorder="1" applyAlignment="1">
      <alignment horizontal="center" vertical="center" wrapText="1"/>
    </xf>
    <xf numFmtId="15" fontId="40" fillId="0" borderId="16" xfId="2" applyNumberFormat="1" applyFont="1" applyBorder="1" applyAlignment="1">
      <alignment horizontal="center" vertical="center"/>
    </xf>
    <xf numFmtId="164" fontId="40" fillId="0" borderId="16" xfId="2" applyNumberFormat="1" applyFont="1" applyBorder="1" applyAlignment="1">
      <alignment horizontal="center" vertical="center"/>
    </xf>
    <xf numFmtId="2" fontId="40" fillId="0" borderId="16" xfId="2" applyNumberFormat="1" applyFont="1" applyBorder="1" applyAlignment="1">
      <alignment horizontal="center" vertical="center"/>
    </xf>
    <xf numFmtId="15" fontId="39" fillId="0" borderId="16" xfId="2" applyNumberFormat="1" applyFont="1" applyBorder="1" applyAlignment="1">
      <alignment horizontal="center" vertical="center"/>
    </xf>
    <xf numFmtId="15" fontId="39" fillId="2" borderId="16" xfId="2" applyNumberFormat="1" applyFont="1" applyFill="1" applyBorder="1" applyAlignment="1">
      <alignment horizontal="center" vertical="center" wrapText="1"/>
    </xf>
    <xf numFmtId="166" fontId="39" fillId="0" borderId="16" xfId="2" applyNumberFormat="1" applyFont="1" applyBorder="1" applyAlignment="1">
      <alignment horizontal="center" vertical="center"/>
    </xf>
    <xf numFmtId="15" fontId="40" fillId="0" borderId="11" xfId="2" applyNumberFormat="1" applyFont="1" applyBorder="1" applyAlignment="1">
      <alignment horizontal="center" vertical="center"/>
    </xf>
    <xf numFmtId="164" fontId="40" fillId="0" borderId="11" xfId="2" applyNumberFormat="1" applyFont="1" applyBorder="1" applyAlignment="1">
      <alignment horizontal="center" vertical="center"/>
    </xf>
    <xf numFmtId="2" fontId="40" fillId="0" borderId="11" xfId="2" applyNumberFormat="1" applyFont="1" applyBorder="1" applyAlignment="1">
      <alignment horizontal="center" vertical="center"/>
    </xf>
    <xf numFmtId="15" fontId="39" fillId="0" borderId="11" xfId="2" applyNumberFormat="1" applyFont="1" applyBorder="1" applyAlignment="1">
      <alignment horizontal="center" vertical="center"/>
    </xf>
    <xf numFmtId="15" fontId="39" fillId="2" borderId="23" xfId="2" applyNumberFormat="1" applyFont="1" applyFill="1" applyBorder="1" applyAlignment="1">
      <alignment horizontal="center" vertical="center" wrapText="1"/>
    </xf>
    <xf numFmtId="166" fontId="39" fillId="0" borderId="19" xfId="2" applyNumberFormat="1" applyFont="1" applyBorder="1" applyAlignment="1">
      <alignment horizontal="center" vertical="center"/>
    </xf>
    <xf numFmtId="166" fontId="39" fillId="0" borderId="14" xfId="2" applyNumberFormat="1" applyFont="1" applyBorder="1" applyAlignment="1">
      <alignment horizontal="center" vertical="center"/>
    </xf>
    <xf numFmtId="15" fontId="39" fillId="2" borderId="16" xfId="2" applyNumberFormat="1" applyFont="1" applyFill="1" applyBorder="1" applyAlignment="1">
      <alignment horizontal="center" vertical="center"/>
    </xf>
    <xf numFmtId="15" fontId="39" fillId="2" borderId="11" xfId="2" applyNumberFormat="1" applyFont="1" applyFill="1" applyBorder="1" applyAlignment="1">
      <alignment horizontal="center" vertical="center"/>
    </xf>
    <xf numFmtId="166" fontId="39" fillId="0" borderId="11" xfId="2" applyNumberFormat="1" applyFont="1" applyBorder="1" applyAlignment="1">
      <alignment horizontal="center" vertical="center"/>
    </xf>
    <xf numFmtId="15" fontId="40" fillId="0" borderId="23" xfId="2" applyNumberFormat="1" applyFont="1" applyBorder="1" applyAlignment="1">
      <alignment horizontal="center" vertical="center"/>
    </xf>
    <xf numFmtId="164" fontId="40" fillId="0" borderId="23" xfId="2" applyNumberFormat="1" applyFont="1" applyBorder="1" applyAlignment="1">
      <alignment horizontal="center" vertical="center"/>
    </xf>
    <xf numFmtId="2" fontId="40" fillId="0" borderId="23" xfId="2" applyNumberFormat="1" applyFont="1" applyBorder="1" applyAlignment="1">
      <alignment horizontal="center" vertical="center"/>
    </xf>
    <xf numFmtId="15" fontId="39" fillId="0" borderId="23" xfId="2" applyNumberFormat="1" applyFont="1" applyBorder="1" applyAlignment="1">
      <alignment horizontal="center" vertical="center"/>
    </xf>
    <xf numFmtId="15" fontId="39" fillId="2" borderId="23" xfId="2" applyNumberFormat="1" applyFont="1" applyFill="1" applyBorder="1" applyAlignment="1">
      <alignment horizontal="center" vertical="center"/>
    </xf>
    <xf numFmtId="166" fontId="39" fillId="0" borderId="23" xfId="2" applyNumberFormat="1" applyFont="1" applyBorder="1" applyAlignment="1">
      <alignment horizontal="center" vertical="center"/>
    </xf>
    <xf numFmtId="15" fontId="39" fillId="2" borderId="19" xfId="2" applyNumberFormat="1" applyFont="1" applyFill="1" applyBorder="1" applyAlignment="1">
      <alignment horizontal="center" vertical="center"/>
    </xf>
    <xf numFmtId="2" fontId="40" fillId="0" borderId="21" xfId="2" applyNumberFormat="1" applyFont="1" applyBorder="1" applyAlignment="1">
      <alignment horizontal="center" vertical="center"/>
    </xf>
    <xf numFmtId="15" fontId="40" fillId="0" borderId="49" xfId="2" applyNumberFormat="1" applyFont="1" applyBorder="1" applyAlignment="1">
      <alignment horizontal="center" vertical="center"/>
    </xf>
    <xf numFmtId="15" fontId="39" fillId="0" borderId="50" xfId="2" applyNumberFormat="1" applyFont="1" applyBorder="1" applyAlignment="1">
      <alignment horizontal="center" vertical="center"/>
    </xf>
    <xf numFmtId="15" fontId="39" fillId="2" borderId="50" xfId="2" applyNumberFormat="1" applyFont="1" applyFill="1" applyBorder="1" applyAlignment="1">
      <alignment horizontal="center" vertical="center"/>
    </xf>
    <xf numFmtId="166" fontId="39" fillId="0" borderId="50" xfId="2" applyNumberFormat="1" applyFont="1" applyBorder="1" applyAlignment="1">
      <alignment horizontal="center" vertical="center"/>
    </xf>
    <xf numFmtId="0" fontId="31" fillId="0" borderId="41" xfId="2" applyFont="1" applyBorder="1" applyAlignment="1">
      <alignment horizontal="center" vertical="center"/>
    </xf>
    <xf numFmtId="164" fontId="39" fillId="0" borderId="16" xfId="2" applyNumberFormat="1" applyFont="1" applyBorder="1" applyAlignment="1">
      <alignment horizontal="center" vertical="center"/>
    </xf>
    <xf numFmtId="2" fontId="39" fillId="0" borderId="16" xfId="2" applyNumberFormat="1" applyFont="1" applyBorder="1" applyAlignment="1">
      <alignment horizontal="center" vertical="center"/>
    </xf>
    <xf numFmtId="164" fontId="39" fillId="0" borderId="11" xfId="2" applyNumberFormat="1" applyFont="1" applyBorder="1" applyAlignment="1">
      <alignment horizontal="center" vertical="center"/>
    </xf>
    <xf numFmtId="2" fontId="39" fillId="0" borderId="11" xfId="2" applyNumberFormat="1" applyFont="1" applyBorder="1" applyAlignment="1">
      <alignment horizontal="center" vertical="center"/>
    </xf>
    <xf numFmtId="166" fontId="39" fillId="0" borderId="11" xfId="2" applyNumberFormat="1" applyFont="1" applyBorder="1" applyAlignment="1">
      <alignment horizontal="center" vertical="center" wrapText="1"/>
    </xf>
    <xf numFmtId="164" fontId="39" fillId="0" borderId="14" xfId="2" applyNumberFormat="1" applyFont="1" applyBorder="1" applyAlignment="1">
      <alignment horizontal="center" vertical="center"/>
    </xf>
    <xf numFmtId="2" fontId="39" fillId="0" borderId="23" xfId="2" applyNumberFormat="1" applyFont="1" applyBorder="1" applyAlignment="1">
      <alignment horizontal="center" vertical="center"/>
    </xf>
    <xf numFmtId="15" fontId="39" fillId="0" borderId="50" xfId="2" applyNumberFormat="1" applyFont="1" applyBorder="1" applyAlignment="1">
      <alignment horizontal="center" vertical="center" wrapText="1"/>
    </xf>
    <xf numFmtId="15" fontId="40" fillId="0" borderId="50" xfId="2" applyNumberFormat="1" applyFont="1" applyBorder="1" applyAlignment="1">
      <alignment horizontal="center" vertical="center"/>
    </xf>
    <xf numFmtId="164" fontId="40" fillId="0" borderId="50" xfId="2" applyNumberFormat="1" applyFont="1" applyBorder="1" applyAlignment="1">
      <alignment horizontal="center" vertical="center"/>
    </xf>
    <xf numFmtId="2" fontId="40" fillId="0" borderId="50" xfId="2" applyNumberFormat="1" applyFont="1" applyBorder="1" applyAlignment="1">
      <alignment horizontal="center" vertical="center"/>
    </xf>
    <xf numFmtId="15" fontId="39" fillId="0" borderId="76" xfId="2" applyNumberFormat="1" applyFont="1" applyBorder="1" applyAlignment="1">
      <alignment horizontal="center" vertical="center"/>
    </xf>
    <xf numFmtId="15" fontId="39" fillId="0" borderId="77" xfId="2" applyNumberFormat="1" applyFont="1" applyBorder="1" applyAlignment="1">
      <alignment horizontal="center" vertical="center"/>
    </xf>
    <xf numFmtId="0" fontId="31" fillId="0" borderId="25" xfId="2" applyFont="1" applyBorder="1" applyAlignment="1">
      <alignment horizontal="center" vertical="center"/>
    </xf>
    <xf numFmtId="14" fontId="39" fillId="0" borderId="78" xfId="2" applyNumberFormat="1" applyFont="1" applyBorder="1" applyAlignment="1">
      <alignment horizontal="center" vertical="center"/>
    </xf>
    <xf numFmtId="14" fontId="32" fillId="0" borderId="50" xfId="2" applyNumberFormat="1" applyFont="1" applyBorder="1" applyAlignment="1" applyProtection="1">
      <alignment horizontal="center" vertical="center" wrapText="1"/>
      <protection locked="0"/>
    </xf>
    <xf numFmtId="14" fontId="39" fillId="0" borderId="16" xfId="2" applyNumberFormat="1" applyFont="1" applyBorder="1" applyAlignment="1">
      <alignment horizontal="center" vertical="center"/>
    </xf>
    <xf numFmtId="14" fontId="39" fillId="0" borderId="50" xfId="2" applyNumberFormat="1" applyFont="1" applyBorder="1" applyAlignment="1">
      <alignment horizontal="center" vertical="center"/>
    </xf>
    <xf numFmtId="14" fontId="39" fillId="0" borderId="11" xfId="2" applyNumberFormat="1" applyFont="1" applyBorder="1" applyAlignment="1">
      <alignment horizontal="center" vertical="center"/>
    </xf>
    <xf numFmtId="14" fontId="31" fillId="0" borderId="25" xfId="2" applyNumberFormat="1" applyFont="1" applyBorder="1" applyAlignment="1">
      <alignment horizontal="center" vertical="center"/>
    </xf>
    <xf numFmtId="2" fontId="32" fillId="0" borderId="50" xfId="2" applyNumberFormat="1" applyFont="1" applyBorder="1" applyAlignment="1" applyProtection="1">
      <alignment horizontal="center" vertical="center" wrapText="1"/>
      <protection locked="0"/>
    </xf>
    <xf numFmtId="2" fontId="39" fillId="0" borderId="50" xfId="2" applyNumberFormat="1" applyFont="1" applyBorder="1" applyAlignment="1">
      <alignment horizontal="center" vertical="center"/>
    </xf>
    <xf numFmtId="2" fontId="31" fillId="0" borderId="73" xfId="2" applyNumberFormat="1" applyFont="1" applyBorder="1" applyAlignment="1">
      <alignment horizontal="center" vertical="center"/>
    </xf>
    <xf numFmtId="2" fontId="31" fillId="0" borderId="0" xfId="2" applyNumberFormat="1" applyFont="1" applyAlignment="1">
      <alignment horizontal="center" vertical="center"/>
    </xf>
    <xf numFmtId="2" fontId="31" fillId="0" borderId="41" xfId="2" applyNumberFormat="1" applyFont="1" applyBorder="1" applyAlignment="1">
      <alignment horizontal="center" vertical="center"/>
    </xf>
    <xf numFmtId="2" fontId="31" fillId="0" borderId="25" xfId="2" applyNumberFormat="1" applyFont="1" applyBorder="1" applyAlignment="1">
      <alignment horizontal="center" vertical="center"/>
    </xf>
    <xf numFmtId="0" fontId="33" fillId="0" borderId="15" xfId="2" applyFont="1" applyBorder="1" applyAlignment="1">
      <alignment horizontal="center" vertical="center" wrapText="1"/>
    </xf>
    <xf numFmtId="0" fontId="39" fillId="0" borderId="16" xfId="2" applyFont="1" applyBorder="1" applyAlignment="1">
      <alignment horizontal="center" vertical="center" wrapText="1"/>
    </xf>
    <xf numFmtId="0" fontId="37" fillId="0" borderId="16" xfId="2" applyFont="1" applyBorder="1" applyAlignment="1">
      <alignment horizontal="center" vertical="center"/>
    </xf>
    <xf numFmtId="0" fontId="33" fillId="0" borderId="49" xfId="2" applyFont="1" applyBorder="1" applyAlignment="1">
      <alignment horizontal="center" vertical="center" wrapText="1"/>
    </xf>
    <xf numFmtId="0" fontId="37" fillId="0" borderId="50" xfId="2" applyFont="1" applyBorder="1" applyAlignment="1">
      <alignment horizontal="center" vertical="center"/>
    </xf>
    <xf numFmtId="0" fontId="39" fillId="0" borderId="50" xfId="2" applyFont="1" applyBorder="1" applyAlignment="1">
      <alignment horizontal="center" vertical="center" wrapText="1"/>
    </xf>
    <xf numFmtId="14" fontId="27" fillId="0" borderId="0" xfId="2" applyNumberFormat="1" applyAlignment="1">
      <alignment horizontal="center" vertical="center"/>
    </xf>
    <xf numFmtId="2" fontId="27" fillId="0" borderId="0" xfId="2" applyNumberFormat="1" applyAlignment="1">
      <alignment horizontal="center" vertical="center"/>
    </xf>
    <xf numFmtId="0" fontId="28" fillId="0" borderId="0" xfId="2" applyFont="1" applyAlignment="1">
      <alignment horizontal="center" vertical="center" wrapText="1"/>
    </xf>
    <xf numFmtId="0" fontId="27" fillId="0" borderId="0" xfId="2" applyAlignment="1">
      <alignment horizontal="center" vertical="center"/>
    </xf>
    <xf numFmtId="0" fontId="31" fillId="0" borderId="24" xfId="2" applyFont="1" applyBorder="1" applyAlignment="1">
      <alignment horizontal="center" vertical="center"/>
    </xf>
    <xf numFmtId="0" fontId="31" fillId="0" borderId="73" xfId="2" applyFont="1" applyBorder="1" applyAlignment="1">
      <alignment horizontal="center" vertical="center"/>
    </xf>
    <xf numFmtId="0" fontId="31" fillId="0" borderId="26" xfId="2" applyFont="1" applyBorder="1" applyAlignment="1">
      <alignment horizontal="center" vertical="center"/>
    </xf>
    <xf numFmtId="166" fontId="39" fillId="0" borderId="16" xfId="2" applyNumberFormat="1" applyFont="1" applyBorder="1" applyAlignment="1">
      <alignment horizontal="center" vertical="center" wrapText="1"/>
    </xf>
    <xf numFmtId="0" fontId="39" fillId="0" borderId="17" xfId="2" applyFont="1" applyBorder="1" applyAlignment="1">
      <alignment horizontal="center" vertical="center" wrapText="1"/>
    </xf>
    <xf numFmtId="0" fontId="31" fillId="0" borderId="0" xfId="2" applyFont="1" applyAlignment="1">
      <alignment horizontal="center" vertical="center"/>
    </xf>
    <xf numFmtId="0" fontId="38" fillId="0" borderId="16" xfId="2" applyFont="1" applyBorder="1" applyAlignment="1">
      <alignment horizontal="center" vertical="center" wrapText="1"/>
    </xf>
    <xf numFmtId="169" fontId="39" fillId="0" borderId="11" xfId="2" applyNumberFormat="1" applyFont="1" applyBorder="1" applyAlignment="1">
      <alignment horizontal="center" vertical="center"/>
    </xf>
    <xf numFmtId="166" fontId="39" fillId="0" borderId="50" xfId="2" applyNumberFormat="1" applyFont="1" applyBorder="1" applyAlignment="1">
      <alignment horizontal="center" vertical="center" wrapText="1"/>
    </xf>
    <xf numFmtId="0" fontId="39" fillId="0" borderId="53" xfId="2" applyFont="1" applyBorder="1" applyAlignment="1">
      <alignment horizontal="center" vertical="center" wrapText="1"/>
    </xf>
    <xf numFmtId="0" fontId="38" fillId="0" borderId="50" xfId="2" applyFont="1" applyBorder="1" applyAlignment="1">
      <alignment horizontal="center" vertical="center" wrapText="1"/>
    </xf>
    <xf numFmtId="166" fontId="32" fillId="0" borderId="50" xfId="2" applyNumberFormat="1" applyFont="1" applyBorder="1" applyAlignment="1" applyProtection="1">
      <alignment horizontal="center" vertical="center" wrapText="1"/>
      <protection locked="0"/>
    </xf>
    <xf numFmtId="166" fontId="31" fillId="0" borderId="73" xfId="2" applyNumberFormat="1" applyFont="1" applyBorder="1" applyAlignment="1">
      <alignment horizontal="center" vertical="center"/>
    </xf>
    <xf numFmtId="166" fontId="31" fillId="0" borderId="0" xfId="2" applyNumberFormat="1" applyFont="1" applyAlignment="1">
      <alignment horizontal="center" vertical="center"/>
    </xf>
    <xf numFmtId="166" fontId="31" fillId="0" borderId="41" xfId="2" applyNumberFormat="1" applyFont="1" applyBorder="1" applyAlignment="1">
      <alignment horizontal="center" vertical="center"/>
    </xf>
    <xf numFmtId="166" fontId="31" fillId="0" borderId="25" xfId="2" applyNumberFormat="1" applyFont="1" applyBorder="1" applyAlignment="1">
      <alignment horizontal="center" vertical="center"/>
    </xf>
    <xf numFmtId="166" fontId="27" fillId="0" borderId="0" xfId="2" applyNumberFormat="1" applyAlignment="1">
      <alignment horizontal="center" vertical="center"/>
    </xf>
    <xf numFmtId="0" fontId="29" fillId="0" borderId="0" xfId="2" applyFont="1" applyAlignment="1">
      <alignment horizontal="center" vertical="center" wrapText="1"/>
    </xf>
    <xf numFmtId="166" fontId="39" fillId="0" borderId="21" xfId="2" applyNumberFormat="1" applyFont="1" applyBorder="1" applyAlignment="1">
      <alignment horizontal="center" vertical="center" wrapText="1"/>
    </xf>
    <xf numFmtId="166" fontId="39" fillId="0" borderId="39" xfId="2" applyNumberFormat="1" applyFont="1" applyBorder="1" applyAlignment="1">
      <alignment horizontal="center" vertical="center" wrapText="1"/>
    </xf>
    <xf numFmtId="166" fontId="39" fillId="0" borderId="43" xfId="2" applyNumberFormat="1" applyFont="1" applyBorder="1" applyAlignment="1">
      <alignment horizontal="center" vertical="center" wrapText="1"/>
    </xf>
    <xf numFmtId="166" fontId="39" fillId="0" borderId="42" xfId="2" applyNumberFormat="1" applyFont="1" applyBorder="1" applyAlignment="1">
      <alignment horizontal="center" vertical="center" wrapText="1"/>
    </xf>
    <xf numFmtId="166" fontId="39" fillId="0" borderId="76" xfId="2" applyNumberFormat="1" applyFont="1" applyBorder="1" applyAlignment="1">
      <alignment horizontal="center" vertical="center" wrapText="1"/>
    </xf>
    <xf numFmtId="166" fontId="39" fillId="10" borderId="43" xfId="2" applyNumberFormat="1" applyFont="1" applyFill="1" applyBorder="1" applyAlignment="1">
      <alignment horizontal="center" vertical="center" wrapText="1"/>
    </xf>
    <xf numFmtId="166" fontId="39" fillId="10" borderId="42" xfId="2" applyNumberFormat="1" applyFont="1" applyFill="1" applyBorder="1" applyAlignment="1">
      <alignment horizontal="center" vertical="center" wrapText="1"/>
    </xf>
    <xf numFmtId="166" fontId="39" fillId="10" borderId="76" xfId="2" applyNumberFormat="1" applyFont="1" applyFill="1" applyBorder="1" applyAlignment="1">
      <alignment horizontal="center" vertical="center" wrapText="1"/>
    </xf>
    <xf numFmtId="166" fontId="39" fillId="3" borderId="76" xfId="2" applyNumberFormat="1" applyFont="1" applyFill="1" applyBorder="1" applyAlignment="1">
      <alignment horizontal="center" vertical="center" wrapText="1"/>
    </xf>
    <xf numFmtId="0" fontId="8" fillId="0" borderId="47" xfId="0" applyFont="1" applyBorder="1" applyAlignment="1">
      <alignment horizontal="center" vertical="center" wrapText="1"/>
    </xf>
    <xf numFmtId="0" fontId="8" fillId="0" borderId="61"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23"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23" xfId="0" applyFont="1" applyBorder="1" applyAlignment="1">
      <alignment horizontal="center" vertical="center" wrapText="1"/>
    </xf>
    <xf numFmtId="0" fontId="13" fillId="0" borderId="11" xfId="0" applyFont="1" applyBorder="1" applyAlignment="1">
      <alignment horizontal="center" vertical="top" wrapText="1"/>
    </xf>
    <xf numFmtId="0" fontId="13" fillId="0" borderId="43" xfId="0" applyFont="1" applyBorder="1" applyAlignment="1">
      <alignment horizontal="center" vertical="top"/>
    </xf>
    <xf numFmtId="0" fontId="13" fillId="2" borderId="11"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23" xfId="0" applyFont="1" applyFill="1" applyBorder="1" applyAlignment="1">
      <alignment horizontal="center" vertical="center"/>
    </xf>
    <xf numFmtId="0" fontId="23" fillId="0" borderId="60" xfId="0" applyFont="1" applyBorder="1" applyAlignment="1">
      <alignment horizontal="center" vertical="center"/>
    </xf>
    <xf numFmtId="0" fontId="23" fillId="0" borderId="23" xfId="0" applyFont="1" applyBorder="1" applyAlignment="1">
      <alignment horizontal="center" vertical="center"/>
    </xf>
    <xf numFmtId="0" fontId="24" fillId="0" borderId="60" xfId="0" applyFont="1" applyBorder="1" applyAlignment="1">
      <alignment horizontal="center" vertical="center"/>
    </xf>
    <xf numFmtId="0" fontId="24" fillId="0" borderId="23" xfId="0" applyFont="1" applyBorder="1" applyAlignment="1">
      <alignment horizontal="center" vertical="center"/>
    </xf>
    <xf numFmtId="0" fontId="23" fillId="0" borderId="14" xfId="0" applyFont="1" applyBorder="1" applyAlignment="1">
      <alignment horizontal="center" vertical="center"/>
    </xf>
    <xf numFmtId="0" fontId="23" fillId="0" borderId="59" xfId="0" applyFont="1" applyBorder="1" applyAlignment="1">
      <alignment horizontal="center" vertical="center"/>
    </xf>
    <xf numFmtId="0" fontId="24" fillId="0" borderId="14" xfId="0" applyFont="1" applyBorder="1" applyAlignment="1">
      <alignment horizontal="center" vertical="center"/>
    </xf>
    <xf numFmtId="0" fontId="24" fillId="0" borderId="59"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12" fillId="0" borderId="14" xfId="0" applyFont="1" applyBorder="1" applyAlignment="1">
      <alignment horizontal="center" vertical="center" wrapText="1"/>
    </xf>
    <xf numFmtId="0" fontId="12" fillId="0" borderId="23" xfId="0" applyFont="1" applyBorder="1" applyAlignment="1">
      <alignment horizontal="center" vertical="center" wrapText="1"/>
    </xf>
    <xf numFmtId="0" fontId="13" fillId="0" borderId="49" xfId="0" applyFont="1" applyBorder="1" applyAlignment="1">
      <alignment horizontal="center" vertical="center"/>
    </xf>
    <xf numFmtId="0" fontId="13" fillId="0" borderId="50" xfId="0" applyFont="1" applyBorder="1" applyAlignment="1">
      <alignment horizontal="center" vertical="center"/>
    </xf>
    <xf numFmtId="0" fontId="13" fillId="0" borderId="53" xfId="0" applyFont="1" applyBorder="1" applyAlignment="1">
      <alignment horizontal="center" vertical="center"/>
    </xf>
    <xf numFmtId="0" fontId="13" fillId="0" borderId="11" xfId="0" applyFont="1" applyBorder="1" applyAlignment="1">
      <alignment horizontal="center" vertical="top"/>
    </xf>
    <xf numFmtId="0" fontId="13" fillId="0" borderId="14" xfId="0" applyFont="1" applyBorder="1" applyAlignment="1">
      <alignment horizontal="center" vertical="top"/>
    </xf>
    <xf numFmtId="0" fontId="13" fillId="0" borderId="23" xfId="0" applyFont="1" applyBorder="1" applyAlignment="1">
      <alignment horizontal="center" vertical="top"/>
    </xf>
    <xf numFmtId="0" fontId="25" fillId="7" borderId="74" xfId="0" applyFont="1" applyFill="1" applyBorder="1" applyAlignment="1">
      <alignment horizontal="center" vertical="center" wrapText="1"/>
    </xf>
    <xf numFmtId="0" fontId="25" fillId="8" borderId="0" xfId="0" applyFont="1" applyFill="1" applyAlignment="1">
      <alignment horizontal="center" vertical="center"/>
    </xf>
    <xf numFmtId="0" fontId="13" fillId="0" borderId="14" xfId="0" applyFont="1" applyBorder="1" applyAlignment="1">
      <alignment horizontal="center" vertical="top" wrapText="1"/>
    </xf>
    <xf numFmtId="0" fontId="13" fillId="0" borderId="23" xfId="0" applyFont="1" applyBorder="1" applyAlignment="1">
      <alignment horizontal="center" vertical="top" wrapText="1"/>
    </xf>
    <xf numFmtId="0" fontId="13" fillId="0" borderId="34" xfId="0" applyFont="1" applyBorder="1" applyAlignment="1">
      <alignment horizontal="center" vertical="top" wrapText="1"/>
    </xf>
    <xf numFmtId="0" fontId="13" fillId="3" borderId="11" xfId="0" applyFont="1" applyFill="1" applyBorder="1" applyAlignment="1">
      <alignment horizontal="center" vertical="center"/>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53" xfId="0" applyFont="1" applyBorder="1" applyAlignment="1">
      <alignment horizontal="center" vertical="center" wrapText="1"/>
    </xf>
    <xf numFmtId="1" fontId="11" fillId="0" borderId="11" xfId="0" applyNumberFormat="1" applyFont="1" applyBorder="1" applyAlignment="1">
      <alignment horizontal="center" vertical="center" shrinkToFit="1"/>
    </xf>
    <xf numFmtId="0" fontId="8" fillId="0" borderId="11" xfId="0" applyFont="1" applyBorder="1" applyAlignment="1">
      <alignment horizontal="center" vertical="center" wrapText="1"/>
    </xf>
    <xf numFmtId="0" fontId="12" fillId="0" borderId="11" xfId="0" applyFont="1" applyBorder="1" applyAlignment="1">
      <alignment horizontal="center" vertical="center" wrapText="1"/>
    </xf>
    <xf numFmtId="0" fontId="13" fillId="0" borderId="11" xfId="0" applyFont="1" applyBorder="1" applyAlignment="1">
      <alignment horizontal="center" vertical="center" wrapText="1"/>
    </xf>
    <xf numFmtId="1" fontId="11" fillId="0" borderId="14" xfId="0" applyNumberFormat="1" applyFont="1" applyBorder="1" applyAlignment="1">
      <alignment horizontal="center" vertical="center" shrinkToFit="1"/>
    </xf>
    <xf numFmtId="0" fontId="13" fillId="0" borderId="14" xfId="0" applyFont="1" applyBorder="1" applyAlignment="1">
      <alignment horizontal="center" vertical="center" wrapText="1"/>
    </xf>
    <xf numFmtId="1" fontId="11" fillId="0" borderId="23" xfId="0" applyNumberFormat="1" applyFont="1" applyBorder="1" applyAlignment="1">
      <alignment horizontal="center" vertical="center" shrinkToFit="1"/>
    </xf>
    <xf numFmtId="0" fontId="13" fillId="0" borderId="23" xfId="0" applyFont="1" applyBorder="1" applyAlignment="1">
      <alignment horizontal="center" vertical="center" wrapText="1"/>
    </xf>
    <xf numFmtId="167" fontId="13" fillId="0" borderId="11" xfId="0" applyNumberFormat="1" applyFont="1" applyBorder="1" applyAlignment="1">
      <alignment horizontal="center" vertical="center" wrapText="1"/>
    </xf>
    <xf numFmtId="167" fontId="13" fillId="0" borderId="14" xfId="0" applyNumberFormat="1" applyFont="1" applyBorder="1" applyAlignment="1">
      <alignment horizontal="center" vertical="center" wrapText="1"/>
    </xf>
    <xf numFmtId="166" fontId="13" fillId="0" borderId="11" xfId="0" applyNumberFormat="1" applyFont="1" applyBorder="1" applyAlignment="1">
      <alignment horizontal="center" vertical="center" wrapText="1"/>
    </xf>
    <xf numFmtId="166" fontId="13" fillId="0" borderId="14" xfId="0" applyNumberFormat="1" applyFont="1" applyBorder="1" applyAlignment="1">
      <alignment horizontal="center" vertical="center" wrapText="1"/>
    </xf>
    <xf numFmtId="167" fontId="13" fillId="0" borderId="23" xfId="0" applyNumberFormat="1" applyFont="1" applyBorder="1" applyAlignment="1">
      <alignment horizontal="center" vertical="center" wrapText="1"/>
    </xf>
    <xf numFmtId="166" fontId="13" fillId="0" borderId="23" xfId="0" applyNumberFormat="1"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8" fillId="0" borderId="51" xfId="0" applyFont="1" applyBorder="1" applyAlignment="1">
      <alignment horizontal="center" vertical="center"/>
    </xf>
    <xf numFmtId="0" fontId="8" fillId="0" borderId="73" xfId="0" applyFont="1" applyBorder="1" applyAlignment="1">
      <alignment horizontal="center" vertical="center"/>
    </xf>
    <xf numFmtId="0" fontId="8" fillId="0" borderId="52" xfId="0" applyFont="1" applyBorder="1" applyAlignment="1">
      <alignment horizontal="center"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21"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2" xfId="0" applyFont="1" applyBorder="1" applyAlignment="1">
      <alignment horizontal="center" vertical="center"/>
    </xf>
    <xf numFmtId="0" fontId="13" fillId="0" borderId="20" xfId="0" applyFont="1" applyBorder="1" applyAlignment="1">
      <alignment horizontal="center" vertical="center"/>
    </xf>
    <xf numFmtId="169" fontId="12" fillId="0" borderId="34" xfId="0" applyNumberFormat="1" applyFont="1" applyBorder="1" applyAlignment="1">
      <alignment horizontal="center" vertical="center"/>
    </xf>
    <xf numFmtId="169" fontId="12" fillId="0" borderId="23" xfId="0" applyNumberFormat="1" applyFont="1" applyBorder="1" applyAlignment="1">
      <alignment horizontal="center" vertical="center"/>
    </xf>
    <xf numFmtId="166" fontId="12" fillId="0" borderId="11" xfId="0" applyNumberFormat="1" applyFont="1" applyBorder="1" applyAlignment="1">
      <alignment horizontal="left" vertical="top" wrapText="1"/>
    </xf>
    <xf numFmtId="0" fontId="12" fillId="0" borderId="58" xfId="0" applyFont="1" applyBorder="1" applyAlignment="1">
      <alignment horizontal="left" vertical="top" wrapText="1"/>
    </xf>
    <xf numFmtId="0" fontId="8" fillId="0" borderId="57" xfId="0" applyFont="1" applyBorder="1" applyAlignment="1">
      <alignment horizontal="center" vertical="top" wrapText="1"/>
    </xf>
    <xf numFmtId="0" fontId="8" fillId="0" borderId="18" xfId="0" applyFont="1" applyBorder="1" applyAlignment="1">
      <alignment horizontal="center" vertical="top" wrapText="1"/>
    </xf>
    <xf numFmtId="0" fontId="8" fillId="0" borderId="11" xfId="0" applyFont="1" applyBorder="1" applyAlignment="1">
      <alignment horizontal="center" vertical="top" wrapText="1"/>
    </xf>
    <xf numFmtId="0" fontId="8" fillId="0" borderId="19" xfId="0" applyFont="1" applyBorder="1" applyAlignment="1">
      <alignment horizontal="center" vertical="top" wrapText="1"/>
    </xf>
    <xf numFmtId="0" fontId="12" fillId="0" borderId="14" xfId="0" applyFont="1" applyBorder="1" applyAlignment="1">
      <alignment horizontal="center" vertical="top" wrapText="1"/>
    </xf>
    <xf numFmtId="0" fontId="12" fillId="0" borderId="59" xfId="0" applyFont="1" applyBorder="1" applyAlignment="1">
      <alignment horizontal="center" vertical="top" wrapText="1"/>
    </xf>
    <xf numFmtId="15" fontId="12" fillId="0" borderId="11" xfId="0" applyNumberFormat="1" applyFont="1" applyBorder="1" applyAlignment="1">
      <alignment horizontal="center" vertical="center"/>
    </xf>
    <xf numFmtId="15" fontId="12" fillId="0" borderId="19" xfId="0" applyNumberFormat="1" applyFont="1" applyBorder="1" applyAlignment="1">
      <alignment horizontal="center" vertical="center"/>
    </xf>
    <xf numFmtId="164" fontId="12" fillId="0" borderId="11" xfId="0" applyNumberFormat="1" applyFont="1" applyBorder="1" applyAlignment="1">
      <alignment horizontal="center" vertical="center"/>
    </xf>
    <xf numFmtId="164" fontId="12" fillId="0" borderId="19" xfId="0" applyNumberFormat="1" applyFont="1" applyBorder="1" applyAlignment="1">
      <alignment horizontal="center" vertical="center"/>
    </xf>
    <xf numFmtId="2" fontId="12" fillId="0" borderId="11" xfId="0" applyNumberFormat="1" applyFont="1" applyBorder="1" applyAlignment="1">
      <alignment horizontal="center" vertical="center"/>
    </xf>
    <xf numFmtId="2" fontId="12" fillId="0" borderId="19" xfId="0" applyNumberFormat="1" applyFont="1" applyBorder="1" applyAlignment="1">
      <alignment horizontal="center" vertical="center"/>
    </xf>
    <xf numFmtId="169" fontId="12" fillId="0" borderId="14" xfId="0" applyNumberFormat="1" applyFont="1" applyBorder="1" applyAlignment="1">
      <alignment horizontal="center" vertical="center"/>
    </xf>
    <xf numFmtId="169" fontId="12" fillId="0" borderId="59" xfId="0" applyNumberFormat="1" applyFont="1" applyBorder="1" applyAlignment="1">
      <alignment horizontal="center" vertical="center"/>
    </xf>
    <xf numFmtId="166" fontId="12" fillId="0" borderId="19" xfId="0" applyNumberFormat="1" applyFont="1" applyBorder="1" applyAlignment="1">
      <alignment horizontal="left" vertical="top" wrapText="1"/>
    </xf>
    <xf numFmtId="0" fontId="12" fillId="0" borderId="20" xfId="0" applyFont="1" applyBorder="1" applyAlignment="1">
      <alignment horizontal="left" vertical="top" wrapText="1"/>
    </xf>
    <xf numFmtId="0" fontId="12" fillId="0" borderId="23" xfId="0" applyFont="1" applyBorder="1" applyAlignment="1">
      <alignment horizontal="center" vertical="top" wrapText="1"/>
    </xf>
    <xf numFmtId="0" fontId="8" fillId="0" borderId="47" xfId="0" applyFont="1" applyBorder="1" applyAlignment="1">
      <alignment horizontal="center" vertical="top" wrapText="1"/>
    </xf>
    <xf numFmtId="0" fontId="8" fillId="0" borderId="63" xfId="0" applyFont="1" applyBorder="1" applyAlignment="1">
      <alignment horizontal="center" vertical="top" wrapText="1"/>
    </xf>
    <xf numFmtId="15" fontId="8" fillId="0" borderId="58" xfId="0" applyNumberFormat="1" applyFont="1" applyBorder="1" applyAlignment="1">
      <alignment horizontal="left" vertical="top" wrapText="1"/>
    </xf>
    <xf numFmtId="15" fontId="8" fillId="0" borderId="20" xfId="0" applyNumberFormat="1" applyFont="1" applyBorder="1" applyAlignment="1">
      <alignment horizontal="left" vertical="top" wrapText="1"/>
    </xf>
    <xf numFmtId="169" fontId="12" fillId="0" borderId="60" xfId="0" applyNumberFormat="1" applyFont="1" applyBorder="1" applyAlignment="1">
      <alignment horizontal="center" vertical="center"/>
    </xf>
    <xf numFmtId="0" fontId="12" fillId="0" borderId="62" xfId="0" applyFont="1" applyBorder="1" applyAlignment="1">
      <alignment horizontal="left" vertical="top" wrapText="1"/>
    </xf>
    <xf numFmtId="2" fontId="12" fillId="0" borderId="23" xfId="0" applyNumberFormat="1" applyFont="1" applyBorder="1" applyAlignment="1">
      <alignment horizontal="center" vertical="center"/>
    </xf>
    <xf numFmtId="15" fontId="12" fillId="0" borderId="23" xfId="0" applyNumberFormat="1" applyFont="1" applyBorder="1" applyAlignment="1">
      <alignment horizontal="center" vertical="center"/>
    </xf>
    <xf numFmtId="0" fontId="8" fillId="0" borderId="15" xfId="0" applyFont="1" applyBorder="1" applyAlignment="1">
      <alignment horizontal="center" vertical="top" wrapText="1"/>
    </xf>
    <xf numFmtId="0" fontId="8" fillId="0" borderId="16" xfId="0" applyFont="1" applyBorder="1" applyAlignment="1">
      <alignment horizontal="center" vertical="top" wrapText="1"/>
    </xf>
    <xf numFmtId="0" fontId="12" fillId="0" borderId="60" xfId="0" applyFont="1" applyBorder="1" applyAlignment="1">
      <alignment horizontal="center" vertical="top" wrapText="1"/>
    </xf>
    <xf numFmtId="15" fontId="12" fillId="0" borderId="16" xfId="0" applyNumberFormat="1" applyFont="1" applyBorder="1" applyAlignment="1">
      <alignment horizontal="center" vertical="center"/>
    </xf>
    <xf numFmtId="164" fontId="12" fillId="0" borderId="16" xfId="0" applyNumberFormat="1" applyFont="1" applyBorder="1" applyAlignment="1">
      <alignment horizontal="center" vertical="center"/>
    </xf>
    <xf numFmtId="2" fontId="12" fillId="0" borderId="16" xfId="0" applyNumberFormat="1" applyFont="1" applyBorder="1" applyAlignment="1">
      <alignment horizontal="center" vertical="center"/>
    </xf>
    <xf numFmtId="166" fontId="12" fillId="0" borderId="16" xfId="0" applyNumberFormat="1" applyFont="1" applyBorder="1" applyAlignment="1">
      <alignment horizontal="left" vertical="top" wrapText="1"/>
    </xf>
    <xf numFmtId="0" fontId="12" fillId="0" borderId="17" xfId="0" applyFont="1" applyBorder="1" applyAlignment="1">
      <alignment horizontal="left" vertical="top" wrapText="1"/>
    </xf>
    <xf numFmtId="0" fontId="8" fillId="0" borderId="61" xfId="0" applyFont="1" applyBorder="1" applyAlignment="1">
      <alignment horizontal="center" vertical="top" wrapText="1"/>
    </xf>
    <xf numFmtId="0" fontId="8" fillId="0" borderId="23" xfId="0" applyFont="1" applyBorder="1" applyAlignment="1">
      <alignment horizontal="center" vertical="top" wrapText="1"/>
    </xf>
    <xf numFmtId="169" fontId="12" fillId="0" borderId="11" xfId="0" applyNumberFormat="1" applyFont="1" applyBorder="1" applyAlignment="1">
      <alignment horizontal="center" vertical="center"/>
    </xf>
    <xf numFmtId="0" fontId="12" fillId="0" borderId="34" xfId="0" applyFont="1" applyBorder="1" applyAlignment="1">
      <alignment horizontal="center" vertical="top" wrapText="1"/>
    </xf>
    <xf numFmtId="164" fontId="12" fillId="0" borderId="23" xfId="0" applyNumberFormat="1" applyFont="1" applyBorder="1" applyAlignment="1">
      <alignment horizontal="center" vertical="center"/>
    </xf>
    <xf numFmtId="169" fontId="12" fillId="0" borderId="19" xfId="0" applyNumberFormat="1" applyFont="1" applyBorder="1" applyAlignment="1">
      <alignment horizontal="center" vertical="center"/>
    </xf>
    <xf numFmtId="166" fontId="12" fillId="0" borderId="23" xfId="0" applyNumberFormat="1" applyFont="1" applyBorder="1" applyAlignment="1">
      <alignment horizontal="left" vertical="top" wrapText="1"/>
    </xf>
    <xf numFmtId="0" fontId="25" fillId="5" borderId="0" xfId="0" applyFont="1" applyFill="1" applyAlignment="1">
      <alignment horizontal="center"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0" xfId="0" applyFont="1" applyBorder="1" applyAlignment="1">
      <alignment horizontal="center" vertical="center" wrapText="1"/>
    </xf>
    <xf numFmtId="1" fontId="11" fillId="0" borderId="6" xfId="0" applyNumberFormat="1" applyFont="1" applyBorder="1" applyAlignment="1">
      <alignment horizontal="center" vertical="center" shrinkToFit="1"/>
    </xf>
    <xf numFmtId="1" fontId="11" fillId="0" borderId="7" xfId="0" applyNumberFormat="1" applyFont="1" applyBorder="1" applyAlignment="1">
      <alignment horizontal="center" vertical="center" shrinkToFi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15" fontId="13"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15" fontId="13" fillId="0" borderId="11" xfId="0" applyNumberFormat="1" applyFont="1" applyBorder="1" applyAlignment="1">
      <alignment horizontal="center" vertical="center" wrapText="1"/>
    </xf>
    <xf numFmtId="0" fontId="12" fillId="0" borderId="8" xfId="0" applyFont="1" applyBorder="1" applyAlignment="1">
      <alignment horizontal="center" vertical="center" wrapText="1"/>
    </xf>
    <xf numFmtId="1" fontId="11" fillId="0" borderId="8" xfId="0" applyNumberFormat="1" applyFont="1" applyBorder="1" applyAlignment="1">
      <alignment horizontal="center" vertical="center" shrinkToFit="1"/>
    </xf>
    <xf numFmtId="0" fontId="8" fillId="0" borderId="8" xfId="0" applyFont="1" applyBorder="1" applyAlignment="1">
      <alignment horizontal="center" vertical="center" wrapText="1"/>
    </xf>
    <xf numFmtId="0" fontId="12" fillId="0" borderId="7" xfId="0" applyFont="1" applyBorder="1" applyAlignment="1">
      <alignment horizontal="center" vertical="center" wrapText="1"/>
    </xf>
    <xf numFmtId="164" fontId="13" fillId="0" borderId="6" xfId="0" applyNumberFormat="1" applyFont="1" applyBorder="1" applyAlignment="1">
      <alignment horizontal="center" vertical="center" shrinkToFit="1"/>
    </xf>
    <xf numFmtId="164" fontId="13" fillId="0" borderId="7" xfId="0" applyNumberFormat="1" applyFont="1" applyBorder="1" applyAlignment="1">
      <alignment horizontal="center" vertical="center" shrinkToFit="1"/>
    </xf>
    <xf numFmtId="2" fontId="13" fillId="0" borderId="6" xfId="0" applyNumberFormat="1" applyFont="1" applyBorder="1" applyAlignment="1">
      <alignment horizontal="center" vertical="center" shrinkToFit="1"/>
    </xf>
    <xf numFmtId="2" fontId="13" fillId="0" borderId="7" xfId="0" applyNumberFormat="1" applyFont="1" applyBorder="1" applyAlignment="1">
      <alignment horizontal="center" vertical="center" shrinkToFit="1"/>
    </xf>
    <xf numFmtId="165" fontId="13" fillId="0" borderId="6" xfId="0" applyNumberFormat="1" applyFont="1" applyBorder="1" applyAlignment="1">
      <alignment horizontal="center" vertical="center" shrinkToFit="1"/>
    </xf>
    <xf numFmtId="165" fontId="13" fillId="0" borderId="7" xfId="0" applyNumberFormat="1" applyFont="1" applyBorder="1" applyAlignment="1">
      <alignment horizontal="center" vertical="center" shrinkToFit="1"/>
    </xf>
    <xf numFmtId="0" fontId="12" fillId="0" borderId="12" xfId="0" applyFont="1" applyBorder="1" applyAlignment="1">
      <alignment horizontal="center" vertical="center" wrapText="1"/>
    </xf>
    <xf numFmtId="0" fontId="25" fillId="6" borderId="0" xfId="0" applyFont="1" applyFill="1" applyAlignment="1">
      <alignment horizontal="center" vertical="center"/>
    </xf>
    <xf numFmtId="164" fontId="13" fillId="0" borderId="8" xfId="0" applyNumberFormat="1" applyFont="1" applyBorder="1" applyAlignment="1">
      <alignment horizontal="center" vertical="center" shrinkToFit="1"/>
    </xf>
    <xf numFmtId="2" fontId="13" fillId="0" borderId="8" xfId="0" applyNumberFormat="1" applyFont="1" applyBorder="1" applyAlignment="1">
      <alignment horizontal="center" vertical="center" shrinkToFit="1"/>
    </xf>
    <xf numFmtId="165" fontId="13" fillId="0" borderId="8" xfId="0" applyNumberFormat="1" applyFont="1" applyBorder="1" applyAlignment="1">
      <alignment horizontal="center" vertical="center" shrinkToFi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1" fillId="0" borderId="1"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13" fillId="0" borderId="8" xfId="0" applyFont="1" applyBorder="1" applyAlignment="1">
      <alignment horizontal="center" vertical="center" wrapText="1"/>
    </xf>
    <xf numFmtId="0" fontId="12" fillId="0" borderId="1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3" xfId="0" applyFont="1" applyBorder="1" applyAlignment="1">
      <alignment horizontal="center" vertical="center"/>
    </xf>
    <xf numFmtId="0" fontId="13" fillId="0" borderId="11" xfId="0" applyFont="1" applyBorder="1" applyAlignment="1">
      <alignment horizontal="center" vertical="center"/>
    </xf>
    <xf numFmtId="0" fontId="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3" fillId="0" borderId="29" xfId="0" applyFont="1" applyBorder="1" applyAlignment="1">
      <alignment horizontal="center" vertical="center" wrapText="1"/>
    </xf>
    <xf numFmtId="1" fontId="11" fillId="0" borderId="30" xfId="0" applyNumberFormat="1" applyFont="1" applyBorder="1" applyAlignment="1">
      <alignment horizontal="center" vertical="center" shrinkToFit="1"/>
    </xf>
    <xf numFmtId="0" fontId="8"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30" xfId="0" applyFont="1" applyBorder="1" applyAlignment="1">
      <alignment horizontal="center" vertical="center" wrapText="1"/>
    </xf>
    <xf numFmtId="15" fontId="13" fillId="0" borderId="30" xfId="0" applyNumberFormat="1" applyFont="1" applyBorder="1" applyAlignment="1">
      <alignment horizontal="center" vertical="center" wrapText="1"/>
    </xf>
    <xf numFmtId="15" fontId="13" fillId="0" borderId="8" xfId="0" applyNumberFormat="1" applyFont="1" applyBorder="1" applyAlignment="1">
      <alignment horizontal="center" vertical="center" wrapText="1"/>
    </xf>
    <xf numFmtId="15" fontId="13" fillId="0" borderId="7" xfId="0" applyNumberFormat="1" applyFont="1" applyBorder="1" applyAlignment="1">
      <alignment horizontal="center" vertical="center" wrapText="1"/>
    </xf>
    <xf numFmtId="0" fontId="24" fillId="0" borderId="11" xfId="0" applyFont="1" applyBorder="1" applyAlignment="1">
      <alignment horizontal="center" vertical="center"/>
    </xf>
    <xf numFmtId="166" fontId="12" fillId="0" borderId="11" xfId="0" applyNumberFormat="1" applyFont="1" applyBorder="1" applyAlignment="1">
      <alignment horizontal="center" vertical="center"/>
    </xf>
    <xf numFmtId="166" fontId="23" fillId="0" borderId="11" xfId="0" applyNumberFormat="1" applyFont="1" applyBorder="1" applyAlignment="1">
      <alignment horizontal="center" vertical="center"/>
    </xf>
    <xf numFmtId="0" fontId="13" fillId="0" borderId="43" xfId="0" applyFont="1" applyBorder="1" applyAlignment="1">
      <alignment horizontal="center" vertical="center"/>
    </xf>
    <xf numFmtId="0" fontId="13" fillId="0" borderId="54" xfId="0" applyFont="1" applyBorder="1" applyAlignment="1">
      <alignment horizontal="center" vertical="center"/>
    </xf>
    <xf numFmtId="0" fontId="13" fillId="0" borderId="39" xfId="0" applyFont="1" applyBorder="1" applyAlignment="1">
      <alignment horizontal="center" vertical="center"/>
    </xf>
    <xf numFmtId="0" fontId="13" fillId="0" borderId="44" xfId="0" applyFont="1" applyBorder="1" applyAlignment="1">
      <alignment horizontal="center" vertical="center"/>
    </xf>
    <xf numFmtId="0" fontId="13" fillId="0" borderId="42" xfId="0" applyFont="1" applyBorder="1" applyAlignment="1">
      <alignment horizontal="center" vertical="center"/>
    </xf>
    <xf numFmtId="0" fontId="13" fillId="0" borderId="71" xfId="0" applyFont="1" applyBorder="1" applyAlignment="1">
      <alignment horizontal="center" vertical="center"/>
    </xf>
    <xf numFmtId="166" fontId="13" fillId="0" borderId="34" xfId="0" applyNumberFormat="1" applyFont="1" applyBorder="1" applyAlignment="1">
      <alignment horizontal="center" vertical="center"/>
    </xf>
    <xf numFmtId="166" fontId="13" fillId="0" borderId="23" xfId="0" applyNumberFormat="1" applyFont="1" applyBorder="1" applyAlignment="1">
      <alignment horizontal="center" vertical="center"/>
    </xf>
    <xf numFmtId="167" fontId="13" fillId="0" borderId="34" xfId="0" applyNumberFormat="1" applyFont="1" applyBorder="1" applyAlignment="1">
      <alignment horizontal="center" vertical="center"/>
    </xf>
    <xf numFmtId="167" fontId="13" fillId="0" borderId="23" xfId="0" applyNumberFormat="1" applyFont="1" applyBorder="1" applyAlignment="1">
      <alignment horizontal="center" vertical="center"/>
    </xf>
    <xf numFmtId="0" fontId="13" fillId="0" borderId="34" xfId="0" applyFont="1" applyBorder="1" applyAlignment="1">
      <alignment horizontal="center" vertical="center"/>
    </xf>
    <xf numFmtId="2" fontId="13" fillId="0" borderId="34" xfId="0" applyNumberFormat="1" applyFont="1" applyBorder="1" applyAlignment="1">
      <alignment horizontal="center" vertical="center"/>
    </xf>
    <xf numFmtId="2" fontId="13" fillId="0" borderId="23" xfId="0" applyNumberFormat="1" applyFont="1" applyBorder="1" applyAlignment="1">
      <alignment horizontal="center" vertical="center"/>
    </xf>
    <xf numFmtId="2"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167" fontId="13" fillId="0" borderId="14" xfId="0" applyNumberFormat="1" applyFont="1" applyBorder="1" applyAlignment="1">
      <alignment horizontal="center" vertical="center"/>
    </xf>
    <xf numFmtId="166" fontId="13" fillId="0" borderId="14" xfId="0" applyNumberFormat="1" applyFont="1" applyBorder="1" applyAlignment="1">
      <alignment horizontal="center" vertical="center"/>
    </xf>
    <xf numFmtId="0" fontId="23" fillId="0" borderId="34" xfId="0" applyFont="1" applyBorder="1" applyAlignment="1">
      <alignment horizontal="center" vertical="center"/>
    </xf>
    <xf numFmtId="0" fontId="13" fillId="2" borderId="34" xfId="0" applyFont="1" applyFill="1" applyBorder="1" applyAlignment="1">
      <alignment horizontal="center" vertical="center"/>
    </xf>
    <xf numFmtId="0" fontId="13" fillId="0" borderId="60" xfId="0" applyFont="1" applyBorder="1" applyAlignment="1">
      <alignment horizontal="center" vertical="center"/>
    </xf>
    <xf numFmtId="0" fontId="13" fillId="3" borderId="42" xfId="0" applyFont="1" applyFill="1" applyBorder="1" applyAlignment="1">
      <alignment horizontal="center" vertical="center"/>
    </xf>
    <xf numFmtId="0" fontId="13" fillId="3" borderId="43" xfId="0" applyFont="1" applyFill="1" applyBorder="1" applyAlignment="1">
      <alignment horizontal="center" vertical="center"/>
    </xf>
    <xf numFmtId="0" fontId="8" fillId="0" borderId="75" xfId="0" applyFont="1" applyBorder="1" applyAlignment="1">
      <alignment horizontal="center" vertical="center" wrapText="1"/>
    </xf>
    <xf numFmtId="168" fontId="12" fillId="0" borderId="14" xfId="0" applyNumberFormat="1" applyFont="1" applyBorder="1" applyAlignment="1">
      <alignment horizontal="center" vertical="center"/>
    </xf>
    <xf numFmtId="168" fontId="12" fillId="0" borderId="23" xfId="0" applyNumberFormat="1" applyFont="1" applyBorder="1" applyAlignment="1">
      <alignment horizontal="center" vertical="center"/>
    </xf>
    <xf numFmtId="166" fontId="13" fillId="0" borderId="43" xfId="0" applyNumberFormat="1" applyFont="1" applyBorder="1" applyAlignment="1">
      <alignment horizontal="center" vertical="center"/>
    </xf>
    <xf numFmtId="0" fontId="13" fillId="2" borderId="43" xfId="0" applyFont="1" applyFill="1" applyBorder="1" applyAlignment="1">
      <alignment horizontal="center" vertical="center"/>
    </xf>
    <xf numFmtId="0" fontId="24" fillId="0" borderId="34" xfId="0" applyFont="1" applyBorder="1" applyAlignment="1">
      <alignment horizontal="center" vertical="center"/>
    </xf>
    <xf numFmtId="0" fontId="8" fillId="0" borderId="34" xfId="0" applyFont="1" applyBorder="1" applyAlignment="1">
      <alignment horizontal="center" vertical="center" wrapText="1"/>
    </xf>
    <xf numFmtId="0" fontId="26" fillId="0" borderId="34" xfId="0" applyFont="1" applyBorder="1" applyAlignment="1">
      <alignment horizontal="center" vertical="center" wrapText="1"/>
    </xf>
    <xf numFmtId="2" fontId="8" fillId="0" borderId="55" xfId="0" applyNumberFormat="1" applyFont="1" applyBorder="1" applyAlignment="1">
      <alignment horizontal="center" vertical="center" wrapText="1"/>
    </xf>
    <xf numFmtId="2" fontId="8" fillId="0" borderId="56" xfId="0" applyNumberFormat="1" applyFont="1" applyBorder="1" applyAlignment="1">
      <alignment horizontal="center" vertical="center" wrapText="1"/>
    </xf>
    <xf numFmtId="2" fontId="8" fillId="0" borderId="66" xfId="0" applyNumberFormat="1" applyFont="1" applyBorder="1" applyAlignment="1">
      <alignment horizontal="center" vertical="center" wrapText="1"/>
    </xf>
    <xf numFmtId="2" fontId="8" fillId="0" borderId="67" xfId="0" applyNumberFormat="1" applyFont="1" applyBorder="1" applyAlignment="1">
      <alignment horizontal="center" vertical="center" wrapText="1"/>
    </xf>
    <xf numFmtId="168" fontId="8" fillId="0" borderId="68" xfId="0" applyNumberFormat="1" applyFont="1" applyBorder="1" applyAlignment="1">
      <alignment horizontal="center" vertical="center" wrapText="1"/>
    </xf>
    <xf numFmtId="168" fontId="8" fillId="0" borderId="69" xfId="0" applyNumberFormat="1" applyFont="1" applyBorder="1" applyAlignment="1">
      <alignment horizontal="center" vertical="center" wrapText="1"/>
    </xf>
    <xf numFmtId="167" fontId="8" fillId="0" borderId="68" xfId="0" applyNumberFormat="1" applyFont="1" applyBorder="1" applyAlignment="1">
      <alignment horizontal="center" vertical="center" wrapText="1"/>
    </xf>
    <xf numFmtId="167" fontId="8" fillId="0" borderId="69" xfId="0" applyNumberFormat="1" applyFont="1" applyBorder="1" applyAlignment="1">
      <alignment horizontal="center" vertical="center" wrapText="1"/>
    </xf>
    <xf numFmtId="167" fontId="8" fillId="0" borderId="55" xfId="0" applyNumberFormat="1" applyFont="1" applyBorder="1" applyAlignment="1">
      <alignment horizontal="center" vertical="center" wrapText="1"/>
    </xf>
    <xf numFmtId="167" fontId="8" fillId="0" borderId="56"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68" xfId="0" applyFont="1" applyBorder="1" applyAlignment="1">
      <alignment horizontal="center" vertical="center" wrapText="1"/>
    </xf>
    <xf numFmtId="0" fontId="8" fillId="0" borderId="69" xfId="0" applyFont="1" applyBorder="1" applyAlignment="1">
      <alignment horizontal="center" vertical="center" wrapText="1"/>
    </xf>
    <xf numFmtId="166" fontId="8" fillId="0" borderId="68" xfId="0" applyNumberFormat="1" applyFont="1" applyBorder="1" applyAlignment="1">
      <alignment horizontal="center" vertical="center" wrapText="1"/>
    </xf>
    <xf numFmtId="166" fontId="8" fillId="0" borderId="69" xfId="0" applyNumberFormat="1" applyFont="1" applyBorder="1" applyAlignment="1">
      <alignment horizontal="center" vertical="center" wrapText="1"/>
    </xf>
    <xf numFmtId="2" fontId="8" fillId="0" borderId="51" xfId="0" applyNumberFormat="1" applyFont="1" applyBorder="1" applyAlignment="1">
      <alignment horizontal="center" vertical="center" wrapText="1"/>
    </xf>
    <xf numFmtId="2" fontId="8" fillId="0" borderId="52" xfId="0" applyNumberFormat="1" applyFont="1" applyBorder="1" applyAlignment="1">
      <alignment horizontal="center" vertical="center" wrapText="1"/>
    </xf>
    <xf numFmtId="2" fontId="8" fillId="0" borderId="64" xfId="0" applyNumberFormat="1" applyFont="1" applyBorder="1" applyAlignment="1">
      <alignment horizontal="center" vertical="center" wrapText="1"/>
    </xf>
    <xf numFmtId="2" fontId="8" fillId="0" borderId="65" xfId="0" applyNumberFormat="1" applyFont="1" applyBorder="1" applyAlignment="1">
      <alignment horizontal="center" vertical="center" wrapText="1"/>
    </xf>
    <xf numFmtId="0" fontId="13" fillId="0" borderId="59" xfId="0" applyFont="1" applyBorder="1" applyAlignment="1">
      <alignment horizontal="center" vertical="center"/>
    </xf>
    <xf numFmtId="0" fontId="13" fillId="3" borderId="39" xfId="0" applyFont="1" applyFill="1" applyBorder="1" applyAlignment="1">
      <alignment horizontal="center" vertical="center"/>
    </xf>
    <xf numFmtId="0" fontId="4" fillId="0" borderId="43" xfId="0" applyFont="1" applyBorder="1" applyAlignment="1">
      <alignment horizontal="center" vertical="center"/>
    </xf>
    <xf numFmtId="0" fontId="4" fillId="0" borderId="54" xfId="0" applyFont="1"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15" fontId="19" fillId="0" borderId="23" xfId="0" applyNumberFormat="1" applyFont="1" applyBorder="1" applyAlignment="1">
      <alignment horizontal="center" vertical="center"/>
    </xf>
    <xf numFmtId="15" fontId="19" fillId="0" borderId="11" xfId="0" applyNumberFormat="1" applyFont="1" applyBorder="1" applyAlignment="1">
      <alignment horizontal="center" vertical="center"/>
    </xf>
    <xf numFmtId="2" fontId="17" fillId="0" borderId="51" xfId="0" applyNumberFormat="1" applyFont="1" applyBorder="1" applyAlignment="1">
      <alignment horizontal="center" vertical="center" wrapText="1"/>
    </xf>
    <xf numFmtId="2" fontId="17" fillId="0" borderId="52" xfId="0" applyNumberFormat="1" applyFont="1" applyBorder="1" applyAlignment="1">
      <alignment horizontal="center" vertical="center" wrapText="1"/>
    </xf>
    <xf numFmtId="2" fontId="17" fillId="0" borderId="64" xfId="0" applyNumberFormat="1" applyFont="1" applyBorder="1" applyAlignment="1">
      <alignment horizontal="center" vertical="center" wrapText="1"/>
    </xf>
    <xf numFmtId="2" fontId="17" fillId="0" borderId="65" xfId="0" applyNumberFormat="1" applyFont="1" applyBorder="1" applyAlignment="1">
      <alignment horizontal="center" vertical="center" wrapText="1"/>
    </xf>
    <xf numFmtId="0" fontId="4" fillId="0" borderId="11" xfId="0" applyFont="1" applyBorder="1" applyAlignment="1">
      <alignment horizontal="center" vertical="center"/>
    </xf>
    <xf numFmtId="0" fontId="4" fillId="0" borderId="14" xfId="0" applyFont="1" applyBorder="1" applyAlignment="1">
      <alignment horizontal="center" vertical="center"/>
    </xf>
    <xf numFmtId="0" fontId="4" fillId="0" borderId="23" xfId="0" applyFont="1" applyBorder="1" applyAlignment="1">
      <alignment horizontal="center" vertical="center" wrapText="1"/>
    </xf>
    <xf numFmtId="0" fontId="4" fillId="0" borderId="11" xfId="0" applyFont="1" applyBorder="1" applyAlignment="1">
      <alignment horizontal="center" vertical="center" wrapText="1"/>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17" fillId="0" borderId="11" xfId="0" applyFont="1" applyBorder="1" applyAlignment="1">
      <alignment horizontal="center" vertical="center"/>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53" xfId="0" applyFont="1" applyBorder="1" applyAlignment="1">
      <alignment horizontal="center" vertical="center"/>
    </xf>
    <xf numFmtId="2" fontId="17" fillId="0" borderId="55" xfId="0" applyNumberFormat="1" applyFont="1" applyBorder="1" applyAlignment="1">
      <alignment horizontal="center" vertical="center" wrapText="1"/>
    </xf>
    <xf numFmtId="2" fontId="17" fillId="0" borderId="56" xfId="0" applyNumberFormat="1" applyFont="1" applyBorder="1" applyAlignment="1">
      <alignment horizontal="center" vertical="center" wrapText="1"/>
    </xf>
    <xf numFmtId="2" fontId="17" fillId="0" borderId="66" xfId="0" applyNumberFormat="1" applyFont="1" applyBorder="1" applyAlignment="1">
      <alignment horizontal="center" vertical="center" wrapText="1"/>
    </xf>
    <xf numFmtId="2" fontId="17" fillId="0" borderId="67" xfId="0" applyNumberFormat="1" applyFont="1" applyBorder="1" applyAlignment="1">
      <alignment horizontal="center" vertical="center" wrapText="1"/>
    </xf>
    <xf numFmtId="168" fontId="17" fillId="0" borderId="68" xfId="0" applyNumberFormat="1" applyFont="1" applyBorder="1" applyAlignment="1">
      <alignment horizontal="center" vertical="center" wrapText="1"/>
    </xf>
    <xf numFmtId="168" fontId="17" fillId="0" borderId="69" xfId="0" applyNumberFormat="1" applyFont="1" applyBorder="1" applyAlignment="1">
      <alignment horizontal="center" vertical="center" wrapText="1"/>
    </xf>
    <xf numFmtId="167" fontId="17" fillId="0" borderId="68" xfId="0" applyNumberFormat="1" applyFont="1" applyBorder="1" applyAlignment="1">
      <alignment horizontal="center" vertical="center" wrapText="1"/>
    </xf>
    <xf numFmtId="167" fontId="17" fillId="0" borderId="69" xfId="0" applyNumberFormat="1" applyFont="1" applyBorder="1" applyAlignment="1">
      <alignment horizontal="center" vertical="center" wrapText="1"/>
    </xf>
    <xf numFmtId="167" fontId="17" fillId="0" borderId="55" xfId="0" applyNumberFormat="1" applyFont="1" applyBorder="1" applyAlignment="1">
      <alignment horizontal="center" vertical="center" wrapText="1"/>
    </xf>
    <xf numFmtId="167" fontId="17" fillId="0" borderId="56" xfId="0" applyNumberFormat="1" applyFont="1" applyBorder="1" applyAlignment="1">
      <alignment horizontal="center" vertical="center" wrapText="1"/>
    </xf>
    <xf numFmtId="0" fontId="16"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3" xfId="0" applyFont="1" applyBorder="1" applyAlignment="1">
      <alignment horizontal="center" vertical="center" wrapText="1"/>
    </xf>
    <xf numFmtId="166" fontId="17" fillId="0" borderId="68" xfId="0" applyNumberFormat="1" applyFont="1" applyBorder="1" applyAlignment="1">
      <alignment horizontal="center" vertical="center" wrapText="1"/>
    </xf>
    <xf numFmtId="166" fontId="17" fillId="0" borderId="69" xfId="0" applyNumberFormat="1" applyFont="1" applyBorder="1" applyAlignment="1">
      <alignment horizontal="center" vertical="center" wrapText="1"/>
    </xf>
    <xf numFmtId="15" fontId="19" fillId="0" borderId="14" xfId="0" applyNumberFormat="1" applyFont="1" applyBorder="1" applyAlignment="1">
      <alignment horizontal="center" vertical="center"/>
    </xf>
    <xf numFmtId="0" fontId="17" fillId="0" borderId="72"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71" xfId="0" applyFont="1" applyBorder="1" applyAlignment="1">
      <alignment horizontal="center" vertical="center" wrapText="1"/>
    </xf>
    <xf numFmtId="0" fontId="17" fillId="0" borderId="54"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1"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4" xfId="0" applyFont="1" applyBorder="1" applyAlignment="1">
      <alignment horizontal="center" vertical="center" wrapText="1"/>
    </xf>
    <xf numFmtId="0" fontId="19" fillId="0" borderId="14" xfId="0" applyFont="1" applyBorder="1" applyAlignment="1">
      <alignment horizontal="center" vertical="center" wrapText="1"/>
    </xf>
    <xf numFmtId="0" fontId="17" fillId="0" borderId="11" xfId="0" applyFont="1" applyBorder="1" applyAlignment="1">
      <alignment horizontal="center" vertical="center" wrapText="1"/>
    </xf>
    <xf numFmtId="164"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168" fontId="19" fillId="0" borderId="11" xfId="0" applyNumberFormat="1" applyFont="1" applyBorder="1" applyAlignment="1">
      <alignment horizontal="center" vertical="center"/>
    </xf>
    <xf numFmtId="168" fontId="19" fillId="0" borderId="14" xfId="0" applyNumberFormat="1" applyFont="1" applyBorder="1" applyAlignment="1">
      <alignment horizontal="center" vertical="center"/>
    </xf>
    <xf numFmtId="0" fontId="4" fillId="0" borderId="34" xfId="0" applyFont="1" applyBorder="1" applyAlignment="1">
      <alignment horizontal="center" vertical="center"/>
    </xf>
    <xf numFmtId="0" fontId="4" fillId="0" borderId="23" xfId="0" applyFont="1" applyBorder="1" applyAlignment="1">
      <alignment horizontal="center" vertical="center"/>
    </xf>
    <xf numFmtId="2" fontId="4" fillId="0" borderId="14" xfId="0" applyNumberFormat="1" applyFont="1" applyBorder="1" applyAlignment="1">
      <alignment horizontal="center" vertical="center"/>
    </xf>
    <xf numFmtId="2" fontId="4" fillId="0" borderId="23" xfId="0" applyNumberFormat="1" applyFont="1" applyBorder="1" applyAlignment="1">
      <alignment horizontal="center" vertical="center"/>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166" fontId="4" fillId="0" borderId="39" xfId="0" applyNumberFormat="1" applyFont="1" applyBorder="1" applyAlignment="1">
      <alignment horizontal="center" vertical="center"/>
    </xf>
    <xf numFmtId="166" fontId="4" fillId="0" borderId="38" xfId="0" applyNumberFormat="1" applyFont="1" applyBorder="1" applyAlignment="1">
      <alignment horizontal="center" vertical="center"/>
    </xf>
    <xf numFmtId="166" fontId="4" fillId="0" borderId="44" xfId="0" applyNumberFormat="1" applyFont="1" applyBorder="1" applyAlignment="1">
      <alignment horizontal="center" vertical="center"/>
    </xf>
    <xf numFmtId="166" fontId="4" fillId="0" borderId="48" xfId="0" applyNumberFormat="1" applyFont="1" applyBorder="1" applyAlignment="1">
      <alignment horizontal="center" vertical="center"/>
    </xf>
    <xf numFmtId="166" fontId="4" fillId="0" borderId="41" xfId="0" applyNumberFormat="1" applyFont="1" applyBorder="1" applyAlignment="1">
      <alignment horizontal="center" vertical="center"/>
    </xf>
    <xf numFmtId="166" fontId="4" fillId="0" borderId="46" xfId="0" applyNumberFormat="1" applyFont="1" applyBorder="1" applyAlignment="1">
      <alignment horizontal="center" vertical="center"/>
    </xf>
    <xf numFmtId="2" fontId="4" fillId="0" borderId="34" xfId="0" applyNumberFormat="1" applyFont="1" applyBorder="1" applyAlignment="1">
      <alignment horizontal="center" vertical="center"/>
    </xf>
    <xf numFmtId="2" fontId="4" fillId="0" borderId="11" xfId="0" applyNumberFormat="1" applyFont="1" applyBorder="1" applyAlignment="1">
      <alignment horizontal="center" vertical="center"/>
    </xf>
    <xf numFmtId="166" fontId="4" fillId="0" borderId="14" xfId="0" applyNumberFormat="1" applyFont="1" applyBorder="1" applyAlignment="1">
      <alignment horizontal="center" vertical="center"/>
    </xf>
    <xf numFmtId="166" fontId="4" fillId="0" borderId="23" xfId="0" applyNumberFormat="1" applyFont="1" applyBorder="1" applyAlignment="1">
      <alignment horizontal="center" vertical="center"/>
    </xf>
    <xf numFmtId="166" fontId="4" fillId="0" borderId="42" xfId="0" applyNumberFormat="1" applyFont="1" applyBorder="1" applyAlignment="1">
      <alignment horizontal="center" vertical="center"/>
    </xf>
    <xf numFmtId="166" fontId="4" fillId="0" borderId="34" xfId="0" applyNumberFormat="1" applyFont="1" applyBorder="1" applyAlignment="1">
      <alignment horizontal="center" vertical="center"/>
    </xf>
    <xf numFmtId="167" fontId="4" fillId="0" borderId="34" xfId="0" applyNumberFormat="1" applyFont="1" applyBorder="1" applyAlignment="1">
      <alignment horizontal="center" vertical="center"/>
    </xf>
    <xf numFmtId="167" fontId="4" fillId="0" borderId="23" xfId="0" applyNumberFormat="1" applyFont="1" applyBorder="1" applyAlignment="1">
      <alignment horizontal="center" vertical="center"/>
    </xf>
    <xf numFmtId="0" fontId="4" fillId="0" borderId="40" xfId="0" applyFont="1" applyBorder="1" applyAlignment="1">
      <alignment horizontal="center" vertical="center"/>
    </xf>
    <xf numFmtId="0" fontId="4" fillId="0" borderId="42" xfId="0" applyFont="1" applyBorder="1" applyAlignment="1">
      <alignment horizontal="center" vertical="center"/>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166" fontId="13" fillId="0" borderId="6" xfId="0" applyNumberFormat="1" applyFont="1" applyBorder="1" applyAlignment="1">
      <alignment horizontal="center" vertical="center" wrapText="1"/>
    </xf>
    <xf numFmtId="166" fontId="13" fillId="0" borderId="8" xfId="0" applyNumberFormat="1" applyFont="1" applyBorder="1" applyAlignment="1">
      <alignment horizontal="center" vertical="center" wrapText="1"/>
    </xf>
    <xf numFmtId="0" fontId="4" fillId="2" borderId="31" xfId="0" applyFont="1" applyFill="1" applyBorder="1" applyAlignment="1">
      <alignment horizontal="center" vertical="center"/>
    </xf>
    <xf numFmtId="0" fontId="4" fillId="2" borderId="45" xfId="0" applyFont="1" applyFill="1" applyBorder="1" applyAlignment="1">
      <alignment horizontal="center" vertical="center"/>
    </xf>
    <xf numFmtId="0" fontId="4" fillId="0" borderId="13" xfId="0" applyFont="1" applyBorder="1" applyAlignment="1">
      <alignment horizontal="center" vertical="center" wrapText="1"/>
    </xf>
    <xf numFmtId="167" fontId="13" fillId="0" borderId="6" xfId="0" applyNumberFormat="1" applyFont="1" applyBorder="1" applyAlignment="1">
      <alignment horizontal="center" vertical="center" wrapText="1"/>
    </xf>
    <xf numFmtId="167" fontId="13" fillId="0" borderId="7" xfId="0" applyNumberFormat="1" applyFont="1" applyBorder="1" applyAlignment="1">
      <alignment horizontal="center" vertical="center" wrapText="1"/>
    </xf>
    <xf numFmtId="2" fontId="8" fillId="0" borderId="23" xfId="0" applyNumberFormat="1" applyFont="1" applyBorder="1" applyAlignment="1">
      <alignment horizontal="center" vertical="center" wrapText="1"/>
    </xf>
    <xf numFmtId="2" fontId="8" fillId="0" borderId="11" xfId="0" applyNumberFormat="1" applyFont="1" applyBorder="1" applyAlignment="1">
      <alignment horizontal="center" vertical="center" wrapText="1"/>
    </xf>
    <xf numFmtId="167" fontId="8" fillId="0" borderId="23" xfId="0" applyNumberFormat="1" applyFont="1" applyBorder="1" applyAlignment="1">
      <alignment horizontal="center" vertical="center" wrapText="1"/>
    </xf>
    <xf numFmtId="167" fontId="8" fillId="0" borderId="11" xfId="0" applyNumberFormat="1" applyFont="1" applyBorder="1" applyAlignment="1">
      <alignment horizontal="center" vertical="center" wrapText="1"/>
    </xf>
    <xf numFmtId="166" fontId="8" fillId="0" borderId="8" xfId="0" applyNumberFormat="1" applyFont="1" applyBorder="1" applyAlignment="1">
      <alignment horizontal="center" vertical="center" wrapText="1"/>
    </xf>
    <xf numFmtId="167" fontId="8" fillId="0" borderId="8" xfId="0" applyNumberFormat="1" applyFont="1" applyBorder="1" applyAlignment="1">
      <alignment horizontal="center" vertical="center" wrapText="1"/>
    </xf>
    <xf numFmtId="167" fontId="8" fillId="0" borderId="13" xfId="0" applyNumberFormat="1" applyFont="1" applyBorder="1" applyAlignment="1">
      <alignment horizontal="center" vertical="center" wrapText="1"/>
    </xf>
    <xf numFmtId="167" fontId="13" fillId="0" borderId="8" xfId="0" applyNumberFormat="1" applyFont="1" applyBorder="1" applyAlignment="1">
      <alignment horizontal="center" vertical="center" wrapText="1"/>
    </xf>
    <xf numFmtId="167" fontId="4" fillId="0" borderId="14" xfId="0" applyNumberFormat="1" applyFont="1" applyBorder="1" applyAlignment="1">
      <alignment horizontal="center" vertical="center"/>
    </xf>
    <xf numFmtId="0" fontId="4" fillId="0" borderId="39" xfId="0" applyFont="1" applyBorder="1" applyAlignment="1">
      <alignment horizontal="center" vertical="center"/>
    </xf>
    <xf numFmtId="0" fontId="4" fillId="2" borderId="14"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4"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43" xfId="0" applyFont="1" applyFill="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2" borderId="11" xfId="0" applyFont="1" applyFill="1" applyBorder="1" applyAlignment="1">
      <alignment horizontal="center" vertical="center"/>
    </xf>
    <xf numFmtId="0" fontId="4" fillId="3" borderId="42" xfId="0" applyFont="1" applyFill="1" applyBorder="1" applyAlignment="1">
      <alignment horizontal="center" vertical="center"/>
    </xf>
    <xf numFmtId="167" fontId="13" fillId="3" borderId="23" xfId="0" applyNumberFormat="1" applyFont="1" applyFill="1" applyBorder="1" applyAlignment="1">
      <alignment horizontal="center" vertical="center" wrapText="1"/>
    </xf>
    <xf numFmtId="167" fontId="13" fillId="3" borderId="11" xfId="0" applyNumberFormat="1" applyFont="1" applyFill="1" applyBorder="1" applyAlignment="1">
      <alignment horizontal="center" vertical="center" wrapText="1"/>
    </xf>
    <xf numFmtId="0" fontId="13" fillId="0" borderId="34" xfId="0" applyFont="1" applyBorder="1" applyAlignment="1">
      <alignment horizontal="center" vertical="center" wrapText="1"/>
    </xf>
    <xf numFmtId="166" fontId="13" fillId="3" borderId="34" xfId="0" applyNumberFormat="1" applyFont="1" applyFill="1" applyBorder="1" applyAlignment="1">
      <alignment horizontal="center" vertical="center" wrapText="1"/>
    </xf>
    <xf numFmtId="166" fontId="13" fillId="3" borderId="23" xfId="0" applyNumberFormat="1"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4" fillId="0" borderId="14" xfId="0" applyFont="1" applyBorder="1" applyAlignment="1">
      <alignment horizontal="center" vertical="center" wrapText="1"/>
    </xf>
    <xf numFmtId="166" fontId="13" fillId="0" borderId="7" xfId="0" applyNumberFormat="1" applyFont="1" applyBorder="1" applyAlignment="1">
      <alignment horizontal="center" vertical="center" wrapText="1"/>
    </xf>
    <xf numFmtId="0" fontId="4" fillId="0" borderId="12" xfId="0" applyFont="1" applyBorder="1" applyAlignment="1">
      <alignment horizontal="center" vertical="center" wrapText="1"/>
    </xf>
    <xf numFmtId="0" fontId="4" fillId="0" borderId="21" xfId="0" applyFont="1" applyBorder="1" applyAlignment="1">
      <alignment horizontal="center" vertical="center"/>
    </xf>
    <xf numFmtId="0" fontId="4" fillId="0" borderId="47" xfId="0" applyFont="1" applyBorder="1" applyAlignment="1">
      <alignment horizontal="center" vertical="center"/>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12" fillId="3" borderId="13"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29" xfId="0" applyFont="1" applyFill="1" applyBorder="1" applyAlignment="1">
      <alignment horizontal="center" vertical="center" wrapText="1"/>
    </xf>
    <xf numFmtId="0" fontId="4" fillId="0" borderId="6" xfId="0" applyFont="1" applyBorder="1" applyAlignment="1">
      <alignment horizontal="center" vertical="center" wrapText="1"/>
    </xf>
    <xf numFmtId="167" fontId="4" fillId="0" borderId="8" xfId="0" applyNumberFormat="1" applyFont="1" applyBorder="1" applyAlignment="1">
      <alignment horizontal="center" vertical="center" wrapText="1"/>
    </xf>
    <xf numFmtId="167" fontId="4" fillId="0" borderId="7" xfId="0" applyNumberFormat="1"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167" fontId="4" fillId="0" borderId="6" xfId="0" applyNumberFormat="1" applyFont="1" applyBorder="1" applyAlignment="1">
      <alignment horizontal="center" vertical="center" wrapText="1"/>
    </xf>
    <xf numFmtId="0" fontId="4" fillId="0" borderId="9" xfId="0" applyFont="1" applyBorder="1" applyAlignment="1">
      <alignment horizontal="center" vertical="center" wrapText="1"/>
    </xf>
    <xf numFmtId="167" fontId="13" fillId="0" borderId="6" xfId="0" applyNumberFormat="1" applyFont="1" applyBorder="1" applyAlignment="1">
      <alignment horizontal="center" vertical="center" shrinkToFit="1"/>
    </xf>
    <xf numFmtId="167" fontId="13" fillId="0" borderId="7" xfId="0" applyNumberFormat="1" applyFont="1" applyBorder="1" applyAlignment="1">
      <alignment horizontal="center" vertical="center" shrinkToFit="1"/>
    </xf>
    <xf numFmtId="0" fontId="14" fillId="0" borderId="8" xfId="0" applyFont="1" applyBorder="1" applyAlignment="1">
      <alignment horizontal="center" vertical="center" wrapText="1"/>
    </xf>
    <xf numFmtId="167" fontId="13" fillId="0" borderId="8" xfId="0" applyNumberFormat="1" applyFont="1" applyBorder="1" applyAlignment="1">
      <alignment horizontal="center" vertical="center" shrinkToFi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5" fillId="0" borderId="2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8"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3" fillId="0" borderId="73" xfId="0" applyFont="1" applyBorder="1" applyAlignment="1">
      <alignment horizontal="center" vertical="center"/>
    </xf>
    <xf numFmtId="1" fontId="11" fillId="0" borderId="16" xfId="0" applyNumberFormat="1" applyFont="1" applyBorder="1" applyAlignment="1">
      <alignment horizontal="center" vertical="center" shrinkToFit="1"/>
    </xf>
    <xf numFmtId="0" fontId="8"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60" xfId="0" applyFont="1" applyBorder="1" applyAlignment="1">
      <alignment horizontal="center" vertical="center" wrapText="1"/>
    </xf>
    <xf numFmtId="167" fontId="13" fillId="0" borderId="60" xfId="0" applyNumberFormat="1" applyFont="1" applyBorder="1" applyAlignment="1">
      <alignment horizontal="center" vertical="center" wrapText="1"/>
    </xf>
    <xf numFmtId="0" fontId="8" fillId="0" borderId="28" xfId="0" applyFont="1" applyBorder="1" applyAlignment="1">
      <alignment horizontal="center" vertical="center" wrapText="1"/>
    </xf>
    <xf numFmtId="0" fontId="8" fillId="0" borderId="13" xfId="0" applyFont="1" applyBorder="1" applyAlignment="1">
      <alignment horizontal="center" vertical="center" wrapText="1"/>
    </xf>
    <xf numFmtId="167" fontId="13" fillId="0" borderId="59" xfId="0" applyNumberFormat="1" applyFont="1" applyBorder="1" applyAlignment="1">
      <alignment horizontal="center" vertical="center" wrapText="1"/>
    </xf>
    <xf numFmtId="2" fontId="13" fillId="0" borderId="60" xfId="0" applyNumberFormat="1" applyFont="1" applyBorder="1" applyAlignment="1">
      <alignment horizontal="center" vertical="center"/>
    </xf>
    <xf numFmtId="2" fontId="13" fillId="0" borderId="59" xfId="0" applyNumberFormat="1" applyFont="1" applyBorder="1" applyAlignment="1">
      <alignment horizontal="center" vertical="center"/>
    </xf>
    <xf numFmtId="2" fontId="13" fillId="0" borderId="14" xfId="0" applyNumberFormat="1" applyFont="1" applyBorder="1" applyAlignment="1">
      <alignment horizontal="center" vertical="center" wrapText="1"/>
    </xf>
    <xf numFmtId="2" fontId="13" fillId="0" borderId="59" xfId="0" applyNumberFormat="1" applyFont="1" applyBorder="1" applyAlignment="1">
      <alignment horizontal="center" vertical="center" wrapText="1"/>
    </xf>
    <xf numFmtId="0" fontId="13" fillId="2" borderId="59" xfId="0" applyFont="1" applyFill="1" applyBorder="1" applyAlignment="1">
      <alignment horizontal="center" vertical="center"/>
    </xf>
    <xf numFmtId="166" fontId="13" fillId="0" borderId="59" xfId="0" applyNumberFormat="1" applyFont="1" applyBorder="1" applyAlignment="1">
      <alignment horizontal="center" vertical="center" wrapText="1"/>
    </xf>
    <xf numFmtId="166" fontId="13" fillId="0" borderId="60" xfId="0" applyNumberFormat="1" applyFont="1" applyBorder="1" applyAlignment="1">
      <alignment horizontal="center" vertical="center" wrapText="1"/>
    </xf>
    <xf numFmtId="166" fontId="13" fillId="0" borderId="60" xfId="0" applyNumberFormat="1" applyFont="1" applyBorder="1" applyAlignment="1">
      <alignment horizontal="center" vertical="center"/>
    </xf>
    <xf numFmtId="167" fontId="13" fillId="0" borderId="60" xfId="0" applyNumberFormat="1" applyFont="1" applyBorder="1" applyAlignment="1">
      <alignment horizontal="center" vertical="center"/>
    </xf>
    <xf numFmtId="0" fontId="13" fillId="0" borderId="41" xfId="0" applyFont="1" applyBorder="1" applyAlignment="1">
      <alignment horizontal="center" vertical="center"/>
    </xf>
    <xf numFmtId="166" fontId="13" fillId="0" borderId="59" xfId="0" applyNumberFormat="1" applyFont="1" applyBorder="1" applyAlignment="1">
      <alignment horizontal="center" vertical="center"/>
    </xf>
    <xf numFmtId="167" fontId="13" fillId="0" borderId="59" xfId="0" applyNumberFormat="1" applyFont="1" applyBorder="1" applyAlignment="1">
      <alignment horizontal="center" vertical="center"/>
    </xf>
    <xf numFmtId="0" fontId="31" fillId="0" borderId="25" xfId="2" applyFont="1" applyBorder="1" applyAlignment="1">
      <alignment horizontal="center" vertical="center"/>
    </xf>
    <xf numFmtId="166" fontId="39" fillId="0" borderId="11" xfId="2" applyNumberFormat="1" applyFont="1" applyBorder="1" applyAlignment="1">
      <alignment horizontal="center" vertical="center" wrapText="1"/>
    </xf>
    <xf numFmtId="0" fontId="39" fillId="0" borderId="62" xfId="2" applyFont="1" applyBorder="1" applyAlignment="1">
      <alignment horizontal="center" vertical="center" wrapText="1"/>
    </xf>
    <xf numFmtId="0" fontId="39" fillId="0" borderId="58" xfId="2" applyFont="1" applyBorder="1" applyAlignment="1">
      <alignment horizontal="center" vertical="center" wrapText="1"/>
    </xf>
    <xf numFmtId="14" fontId="39" fillId="0" borderId="11" xfId="2" applyNumberFormat="1" applyFont="1" applyBorder="1" applyAlignment="1">
      <alignment horizontal="center" vertical="center"/>
    </xf>
    <xf numFmtId="0" fontId="31" fillId="0" borderId="64" xfId="2" applyFont="1" applyBorder="1" applyAlignment="1">
      <alignment horizontal="center" vertical="center"/>
    </xf>
    <xf numFmtId="0" fontId="31" fillId="0" borderId="41" xfId="2" applyFont="1" applyBorder="1" applyAlignment="1">
      <alignment horizontal="center" vertical="center"/>
    </xf>
    <xf numFmtId="0" fontId="31" fillId="0" borderId="65" xfId="2" applyFont="1" applyBorder="1" applyAlignment="1">
      <alignment horizontal="center" vertical="center"/>
    </xf>
    <xf numFmtId="0" fontId="33" fillId="0" borderId="47" xfId="2" applyFont="1" applyBorder="1" applyAlignment="1">
      <alignment horizontal="center" vertical="center" wrapText="1"/>
    </xf>
    <xf numFmtId="0" fontId="33" fillId="0" borderId="61" xfId="2" applyFont="1" applyBorder="1" applyAlignment="1">
      <alignment horizontal="center" vertical="center" wrapText="1"/>
    </xf>
    <xf numFmtId="0" fontId="37" fillId="0" borderId="11" xfId="2" applyFont="1" applyBorder="1" applyAlignment="1">
      <alignment horizontal="center" vertical="center"/>
    </xf>
    <xf numFmtId="0" fontId="38" fillId="0" borderId="11" xfId="2" applyFont="1" applyBorder="1" applyAlignment="1">
      <alignment horizontal="center" vertical="center" wrapText="1"/>
    </xf>
    <xf numFmtId="0" fontId="38" fillId="0" borderId="11" xfId="2" applyFont="1" applyBorder="1" applyAlignment="1">
      <alignment horizontal="center" vertical="center"/>
    </xf>
    <xf numFmtId="0" fontId="39" fillId="0" borderId="11" xfId="2" applyFont="1" applyBorder="1" applyAlignment="1">
      <alignment horizontal="center" vertical="center" wrapText="1"/>
    </xf>
    <xf numFmtId="15" fontId="39" fillId="0" borderId="11" xfId="2" applyNumberFormat="1" applyFont="1" applyBorder="1" applyAlignment="1">
      <alignment horizontal="center" vertical="center" wrapText="1"/>
    </xf>
    <xf numFmtId="15" fontId="39" fillId="0" borderId="11" xfId="2" applyNumberFormat="1" applyFont="1" applyBorder="1" applyAlignment="1">
      <alignment horizontal="center" vertical="center"/>
    </xf>
    <xf numFmtId="0" fontId="33" fillId="0" borderId="57" xfId="2" applyFont="1" applyBorder="1" applyAlignment="1">
      <alignment horizontal="center" vertical="center" wrapText="1"/>
    </xf>
    <xf numFmtId="0" fontId="33" fillId="0" borderId="11" xfId="2" applyFont="1" applyBorder="1" applyAlignment="1">
      <alignment horizontal="center" vertical="center" wrapText="1"/>
    </xf>
    <xf numFmtId="0" fontId="39" fillId="0" borderId="14" xfId="2" applyFont="1" applyBorder="1" applyAlignment="1">
      <alignment horizontal="center" vertical="center" wrapText="1"/>
    </xf>
    <xf numFmtId="0" fontId="39" fillId="0" borderId="23" xfId="2" applyFont="1" applyBorder="1" applyAlignment="1">
      <alignment horizontal="center" vertical="center" wrapText="1"/>
    </xf>
    <xf numFmtId="0" fontId="39" fillId="0" borderId="17" xfId="2" applyFont="1" applyBorder="1" applyAlignment="1">
      <alignment horizontal="center" vertical="center" wrapText="1"/>
    </xf>
    <xf numFmtId="0" fontId="33" fillId="0" borderId="14" xfId="2" applyFont="1" applyBorder="1" applyAlignment="1">
      <alignment horizontal="center" vertical="center" wrapText="1"/>
    </xf>
    <xf numFmtId="0" fontId="33" fillId="0" borderId="23" xfId="2" applyFont="1" applyBorder="1" applyAlignment="1">
      <alignment horizontal="center" vertical="center" wrapText="1"/>
    </xf>
    <xf numFmtId="0" fontId="39" fillId="0" borderId="44" xfId="2" applyFont="1" applyBorder="1" applyAlignment="1">
      <alignment horizontal="center" vertical="center" wrapText="1"/>
    </xf>
    <xf numFmtId="0" fontId="39" fillId="0" borderId="71" xfId="2" applyFont="1" applyBorder="1" applyAlignment="1">
      <alignment horizontal="center" vertical="center" wrapText="1"/>
    </xf>
    <xf numFmtId="0" fontId="39" fillId="0" borderId="54" xfId="2" applyFont="1" applyBorder="1" applyAlignment="1">
      <alignment horizontal="center" vertical="center" wrapText="1"/>
    </xf>
    <xf numFmtId="15" fontId="39" fillId="0" borderId="16" xfId="2" applyNumberFormat="1" applyFont="1" applyBorder="1" applyAlignment="1">
      <alignment horizontal="center" vertical="center"/>
    </xf>
    <xf numFmtId="166" fontId="39" fillId="0" borderId="16" xfId="2" applyNumberFormat="1" applyFont="1" applyBorder="1" applyAlignment="1">
      <alignment horizontal="center" vertical="center" wrapText="1"/>
    </xf>
    <xf numFmtId="166" fontId="39" fillId="0" borderId="14" xfId="2" applyNumberFormat="1" applyFont="1" applyBorder="1" applyAlignment="1">
      <alignment horizontal="center" vertical="center" wrapText="1"/>
    </xf>
    <xf numFmtId="166" fontId="39" fillId="0" borderId="23" xfId="2" applyNumberFormat="1" applyFont="1" applyBorder="1" applyAlignment="1">
      <alignment horizontal="center" vertical="center" wrapText="1"/>
    </xf>
    <xf numFmtId="0" fontId="33" fillId="0" borderId="15" xfId="2" applyFont="1" applyBorder="1" applyAlignment="1">
      <alignment horizontal="center" vertical="center" wrapText="1"/>
    </xf>
    <xf numFmtId="0" fontId="37" fillId="0" borderId="16" xfId="2" applyFont="1" applyBorder="1" applyAlignment="1">
      <alignment horizontal="center" vertical="center"/>
    </xf>
    <xf numFmtId="0" fontId="38" fillId="0" borderId="16" xfId="2" applyFont="1" applyBorder="1" applyAlignment="1">
      <alignment horizontal="center" vertical="center" wrapText="1"/>
    </xf>
    <xf numFmtId="0" fontId="39" fillId="0" borderId="16" xfId="2" applyFont="1" applyBorder="1" applyAlignment="1">
      <alignment horizontal="center" vertical="center" wrapText="1"/>
    </xf>
    <xf numFmtId="15" fontId="39" fillId="0" borderId="16" xfId="2" applyNumberFormat="1" applyFont="1" applyBorder="1" applyAlignment="1">
      <alignment horizontal="center" vertical="center" wrapText="1"/>
    </xf>
    <xf numFmtId="15" fontId="39" fillId="0" borderId="23" xfId="2" applyNumberFormat="1" applyFont="1" applyBorder="1" applyAlignment="1">
      <alignment horizontal="center" vertical="center"/>
    </xf>
    <xf numFmtId="0" fontId="37" fillId="0" borderId="23" xfId="2" applyFont="1" applyBorder="1" applyAlignment="1">
      <alignment horizontal="center" vertical="center"/>
    </xf>
    <xf numFmtId="0" fontId="38" fillId="0" borderId="23" xfId="2" applyFont="1" applyBorder="1" applyAlignment="1">
      <alignment horizontal="center" vertical="center" wrapText="1"/>
    </xf>
    <xf numFmtId="15" fontId="39" fillId="0" borderId="23" xfId="2" applyNumberFormat="1" applyFont="1" applyBorder="1" applyAlignment="1">
      <alignment horizontal="center" vertical="center" wrapText="1"/>
    </xf>
    <xf numFmtId="0" fontId="39" fillId="0" borderId="20" xfId="2" applyFont="1" applyBorder="1" applyAlignment="1">
      <alignment horizontal="center" vertical="center" wrapText="1"/>
    </xf>
    <xf numFmtId="166" fontId="39" fillId="0" borderId="19" xfId="2" applyNumberFormat="1" applyFont="1" applyBorder="1" applyAlignment="1">
      <alignment horizontal="center" vertical="center" wrapText="1"/>
    </xf>
    <xf numFmtId="15" fontId="39" fillId="0" borderId="19" xfId="2" applyNumberFormat="1" applyFont="1" applyBorder="1" applyAlignment="1">
      <alignment horizontal="center" vertical="center"/>
    </xf>
    <xf numFmtId="0" fontId="33" fillId="0" borderId="18" xfId="2" applyFont="1" applyBorder="1" applyAlignment="1">
      <alignment horizontal="center" vertical="center" wrapText="1"/>
    </xf>
    <xf numFmtId="0" fontId="37" fillId="0" borderId="19" xfId="2" applyFont="1" applyBorder="1" applyAlignment="1">
      <alignment horizontal="center" vertical="center"/>
    </xf>
    <xf numFmtId="0" fontId="38" fillId="0" borderId="19" xfId="2" applyFont="1" applyBorder="1" applyAlignment="1">
      <alignment horizontal="center" vertical="center"/>
    </xf>
    <xf numFmtId="0" fontId="39" fillId="0" borderId="19" xfId="2" applyFont="1" applyBorder="1" applyAlignment="1">
      <alignment horizontal="center" vertical="center" wrapText="1"/>
    </xf>
    <xf numFmtId="15" fontId="39" fillId="0" borderId="19" xfId="2" applyNumberFormat="1" applyFont="1" applyBorder="1" applyAlignment="1">
      <alignment horizontal="center" vertical="center" wrapText="1"/>
    </xf>
    <xf numFmtId="0" fontId="29" fillId="0" borderId="41" xfId="2" applyFont="1" applyBorder="1" applyAlignment="1">
      <alignment horizontal="center" vertical="center" wrapText="1"/>
    </xf>
    <xf numFmtId="0" fontId="31" fillId="0" borderId="49" xfId="2" applyFont="1" applyBorder="1" applyAlignment="1">
      <alignment horizontal="center" vertical="center" wrapText="1"/>
    </xf>
    <xf numFmtId="0" fontId="31" fillId="0" borderId="50" xfId="2" applyFont="1" applyBorder="1" applyAlignment="1">
      <alignment horizontal="center" vertical="center" wrapText="1"/>
    </xf>
    <xf numFmtId="0" fontId="31" fillId="0" borderId="76" xfId="2" applyFont="1" applyBorder="1" applyAlignment="1">
      <alignment horizontal="center" vertical="center" wrapText="1"/>
    </xf>
    <xf numFmtId="0" fontId="31" fillId="0" borderId="25" xfId="2" applyFont="1" applyBorder="1" applyAlignment="1">
      <alignment horizontal="center" vertical="center" wrapText="1"/>
    </xf>
    <xf numFmtId="0" fontId="31" fillId="0" borderId="77" xfId="2" applyFont="1" applyBorder="1" applyAlignment="1">
      <alignment horizontal="center" vertical="center" wrapText="1"/>
    </xf>
    <xf numFmtId="0" fontId="32" fillId="0" borderId="17" xfId="2" applyFont="1" applyBorder="1" applyAlignment="1" applyProtection="1">
      <alignment horizontal="center" vertical="center" wrapText="1"/>
      <protection locked="0"/>
    </xf>
    <xf numFmtId="0" fontId="32" fillId="0" borderId="20" xfId="2" applyFont="1" applyBorder="1" applyAlignment="1" applyProtection="1">
      <alignment horizontal="center" vertical="center" wrapText="1"/>
      <protection locked="0"/>
    </xf>
    <xf numFmtId="0" fontId="37" fillId="0" borderId="60" xfId="2" applyFont="1" applyBorder="1" applyAlignment="1">
      <alignment horizontal="center" vertical="center"/>
    </xf>
    <xf numFmtId="0" fontId="37" fillId="0" borderId="59" xfId="2" applyFont="1" applyBorder="1" applyAlignment="1">
      <alignment horizontal="center" vertical="center"/>
    </xf>
    <xf numFmtId="0" fontId="38" fillId="0" borderId="60" xfId="4" applyFont="1" applyBorder="1" applyAlignment="1">
      <alignment horizontal="center" vertical="center" wrapText="1"/>
    </xf>
    <xf numFmtId="0" fontId="38" fillId="0" borderId="59" xfId="4" applyFont="1" applyBorder="1" applyAlignment="1">
      <alignment horizontal="center" vertical="center" wrapText="1"/>
    </xf>
    <xf numFmtId="0" fontId="31" fillId="0" borderId="60" xfId="2" applyFont="1" applyBorder="1" applyAlignment="1">
      <alignment horizontal="center" vertical="center" wrapText="1"/>
    </xf>
    <xf numFmtId="0" fontId="31" fillId="0" borderId="59" xfId="2" applyFont="1" applyBorder="1" applyAlignment="1">
      <alignment horizontal="center" vertical="center" wrapText="1"/>
    </xf>
  </cellXfs>
  <cellStyles count="5">
    <cellStyle name="20% - Accent1 2" xfId="3" xr:uid="{D9F6009F-E870-496A-9148-9197B1B8F31A}"/>
    <cellStyle name="Normal" xfId="0" builtinId="0"/>
    <cellStyle name="Normal 2" xfId="1" xr:uid="{A876EF6D-1ACF-475C-B5EF-1D37C26BC74D}"/>
    <cellStyle name="Normal 3" xfId="2" xr:uid="{4AE58F97-C0BB-4D33-B856-DD7BECC3197B}"/>
    <cellStyle name="Normal 3 2" xfId="4" xr:uid="{AC72C25C-C5BE-4407-8AD3-226A157F02B1}"/>
  </cellStyles>
  <dxfs count="36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ill>
        <patternFill>
          <bgColor rgb="FF92D050"/>
        </patternFill>
      </fill>
    </dxf>
    <dxf>
      <fill>
        <patternFill>
          <bgColor rgb="FF7030A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7030A0"/>
        </patternFill>
      </fill>
    </dxf>
    <dxf>
      <fill>
        <patternFill>
          <bgColor rgb="FFFFC000"/>
        </patternFill>
      </fill>
    </dxf>
    <dxf>
      <fill>
        <patternFill>
          <bgColor rgb="FF92D050"/>
        </patternFill>
      </fill>
    </dxf>
    <dxf>
      <fill>
        <patternFill>
          <bgColor rgb="FF7030A0"/>
        </patternFill>
      </fill>
    </dxf>
    <dxf>
      <fill>
        <patternFill>
          <bgColor rgb="FF92D050"/>
        </patternFill>
      </fill>
    </dxf>
    <dxf>
      <fill>
        <patternFill>
          <bgColor rgb="FFFFC000"/>
        </patternFill>
      </fill>
    </dxf>
    <dxf>
      <fill>
        <patternFill>
          <bgColor rgb="FF7030A0"/>
        </patternFill>
      </fill>
    </dxf>
    <dxf>
      <fill>
        <patternFill>
          <bgColor rgb="FFFFC000"/>
        </patternFill>
      </fill>
    </dxf>
    <dxf>
      <fill>
        <patternFill>
          <bgColor rgb="FF92D050"/>
        </patternFill>
      </fill>
    </dxf>
    <dxf>
      <fill>
        <patternFill>
          <bgColor rgb="FF7030A0"/>
        </patternFill>
      </fill>
    </dxf>
    <dxf>
      <fill>
        <patternFill>
          <bgColor rgb="FFFFC000"/>
        </patternFill>
      </fill>
    </dxf>
    <dxf>
      <fill>
        <patternFill>
          <bgColor rgb="FF7030A0"/>
        </patternFill>
      </fill>
    </dxf>
    <dxf>
      <fill>
        <patternFill>
          <bgColor rgb="FF92D050"/>
        </patternFill>
      </fill>
    </dxf>
    <dxf>
      <fill>
        <patternFill>
          <bgColor rgb="FF92D050"/>
        </patternFill>
      </fill>
    </dxf>
    <dxf>
      <fill>
        <patternFill>
          <bgColor rgb="FF7030A0"/>
        </patternFill>
      </fill>
    </dxf>
    <dxf>
      <fill>
        <patternFill>
          <bgColor rgb="FFFFC000"/>
        </patternFill>
      </fill>
    </dxf>
    <dxf>
      <fill>
        <patternFill>
          <bgColor rgb="FFFFC000"/>
        </patternFill>
      </fill>
    </dxf>
    <dxf>
      <fill>
        <patternFill>
          <bgColor rgb="FF92D050"/>
        </patternFill>
      </fill>
    </dxf>
    <dxf>
      <fill>
        <patternFill>
          <bgColor rgb="FF7030A0"/>
        </patternFill>
      </fill>
    </dxf>
    <dxf>
      <fill>
        <patternFill>
          <bgColor rgb="FFFFC000"/>
        </patternFill>
      </fill>
    </dxf>
    <dxf>
      <fill>
        <patternFill>
          <bgColor rgb="FF92D050"/>
        </patternFill>
      </fill>
    </dxf>
    <dxf>
      <fill>
        <patternFill>
          <bgColor rgb="FF7030A0"/>
        </patternFill>
      </fill>
    </dxf>
    <dxf>
      <fill>
        <patternFill>
          <bgColor rgb="FFFFC000"/>
        </patternFill>
      </fill>
    </dxf>
    <dxf>
      <fill>
        <patternFill>
          <bgColor rgb="FF92D050"/>
        </patternFill>
      </fill>
    </dxf>
    <dxf>
      <fill>
        <patternFill>
          <bgColor rgb="FF7030A0"/>
        </patternFill>
      </fill>
    </dxf>
    <dxf>
      <fill>
        <patternFill>
          <bgColor rgb="FF92D050"/>
        </patternFill>
      </fill>
    </dxf>
    <dxf>
      <fill>
        <patternFill>
          <bgColor rgb="FF7030A0"/>
        </patternFill>
      </fill>
    </dxf>
    <dxf>
      <fill>
        <patternFill>
          <bgColor rgb="FFFFC000"/>
        </patternFill>
      </fill>
    </dxf>
    <dxf>
      <fill>
        <patternFill>
          <bgColor rgb="FF7030A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7030A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FF00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5"/>
  <sheetViews>
    <sheetView topLeftCell="B334" zoomScale="115" zoomScaleNormal="115" workbookViewId="0">
      <selection activeCell="B349" sqref="B349:B350"/>
    </sheetView>
  </sheetViews>
  <sheetFormatPr defaultRowHeight="13.2" x14ac:dyDescent="0.25"/>
  <cols>
    <col min="2" max="2" width="3.33203125" customWidth="1"/>
    <col min="3" max="3" width="10" bestFit="1" customWidth="1"/>
    <col min="4" max="4" width="15.33203125" bestFit="1" customWidth="1"/>
    <col min="5" max="5" width="8" customWidth="1"/>
    <col min="6" max="7" width="7.77734375" customWidth="1"/>
    <col min="8" max="8" width="8" customWidth="1"/>
    <col min="9" max="9" width="8.109375" bestFit="1" customWidth="1"/>
    <col min="10" max="10" width="6.5546875" bestFit="1" customWidth="1"/>
    <col min="11" max="12" width="12.44140625" bestFit="1" customWidth="1"/>
    <col min="13" max="13" width="8.6640625" customWidth="1"/>
    <col min="14" max="14" width="16.44140625" customWidth="1"/>
    <col min="15" max="15" width="18.88671875" customWidth="1"/>
    <col min="16" max="16" width="11.33203125" bestFit="1" customWidth="1"/>
    <col min="17" max="17" width="9.5546875" bestFit="1" customWidth="1"/>
    <col min="18" max="18" width="12.88671875" bestFit="1" customWidth="1"/>
  </cols>
  <sheetData>
    <row r="1" spans="1:18" ht="29.25" customHeight="1" x14ac:dyDescent="0.25">
      <c r="A1" s="187"/>
      <c r="B1" s="519" t="s">
        <v>579</v>
      </c>
      <c r="C1" s="519"/>
      <c r="D1" s="519"/>
      <c r="E1" s="519"/>
      <c r="F1" s="519"/>
      <c r="G1" s="519"/>
      <c r="H1" s="519"/>
      <c r="I1" s="519"/>
      <c r="J1" s="519"/>
      <c r="K1" s="519"/>
      <c r="L1" s="519"/>
      <c r="M1" s="519"/>
      <c r="N1" s="519"/>
      <c r="O1" s="193" t="s">
        <v>448</v>
      </c>
      <c r="P1" s="514" t="s">
        <v>8</v>
      </c>
      <c r="Q1" s="514"/>
      <c r="R1" s="514"/>
    </row>
    <row r="2" spans="1:18" ht="12" customHeight="1" x14ac:dyDescent="0.25">
      <c r="A2" s="187"/>
      <c r="B2" s="475" t="s">
        <v>135</v>
      </c>
      <c r="C2" s="476"/>
      <c r="D2" s="522"/>
      <c r="E2" s="475" t="s">
        <v>136</v>
      </c>
      <c r="F2" s="476"/>
      <c r="G2" s="476"/>
      <c r="H2" s="476"/>
      <c r="I2" s="476"/>
      <c r="J2" s="476"/>
      <c r="K2" s="476"/>
      <c r="L2" s="476"/>
      <c r="M2" s="476"/>
      <c r="N2" s="522"/>
      <c r="O2" s="480" t="s">
        <v>449</v>
      </c>
      <c r="P2" s="480" t="s">
        <v>1</v>
      </c>
      <c r="Q2" s="480" t="s">
        <v>3</v>
      </c>
      <c r="R2" s="480" t="s">
        <v>1</v>
      </c>
    </row>
    <row r="3" spans="1:18" ht="49.2" customHeight="1" thickBot="1" x14ac:dyDescent="0.3">
      <c r="A3" s="187"/>
      <c r="B3" s="44" t="s">
        <v>290</v>
      </c>
      <c r="C3" s="4" t="s">
        <v>137</v>
      </c>
      <c r="D3" s="4" t="s">
        <v>138</v>
      </c>
      <c r="E3" s="4" t="s">
        <v>139</v>
      </c>
      <c r="F3" s="4" t="s">
        <v>140</v>
      </c>
      <c r="G3" s="44" t="s">
        <v>291</v>
      </c>
      <c r="H3" s="44" t="s">
        <v>292</v>
      </c>
      <c r="I3" s="4" t="s">
        <v>141</v>
      </c>
      <c r="J3" s="4" t="s">
        <v>142</v>
      </c>
      <c r="K3" s="4" t="s">
        <v>143</v>
      </c>
      <c r="L3" s="4" t="s">
        <v>144</v>
      </c>
      <c r="M3" s="4" t="s">
        <v>145</v>
      </c>
      <c r="N3" s="4" t="s">
        <v>450</v>
      </c>
      <c r="O3" s="493"/>
      <c r="P3" s="493"/>
      <c r="Q3" s="493"/>
      <c r="R3" s="493"/>
    </row>
    <row r="4" spans="1:18" ht="49.2" customHeight="1" thickBot="1" x14ac:dyDescent="0.3">
      <c r="A4" s="502" t="s">
        <v>434</v>
      </c>
      <c r="B4" s="416" t="s">
        <v>9</v>
      </c>
      <c r="C4" s="417"/>
      <c r="D4" s="417"/>
      <c r="E4" s="417"/>
      <c r="F4" s="417"/>
      <c r="G4" s="417"/>
      <c r="H4" s="417"/>
      <c r="I4" s="417"/>
      <c r="J4" s="417"/>
      <c r="K4" s="417"/>
      <c r="L4" s="417"/>
      <c r="M4" s="417"/>
      <c r="N4" s="417"/>
      <c r="O4" s="417"/>
      <c r="P4" s="417"/>
      <c r="Q4" s="417"/>
      <c r="R4" s="418"/>
    </row>
    <row r="5" spans="1:18" ht="15" customHeight="1" x14ac:dyDescent="0.25">
      <c r="A5" s="502"/>
      <c r="B5" s="516" t="s">
        <v>146</v>
      </c>
      <c r="C5" s="523"/>
      <c r="D5" s="523"/>
      <c r="E5" s="523"/>
      <c r="F5" s="523"/>
      <c r="G5" s="523"/>
      <c r="H5" s="523"/>
      <c r="I5" s="523"/>
      <c r="J5" s="523"/>
      <c r="K5" s="523"/>
      <c r="L5" s="523"/>
      <c r="M5" s="523"/>
      <c r="N5" s="523"/>
      <c r="O5" s="523"/>
      <c r="P5" s="520"/>
      <c r="Q5" s="520"/>
      <c r="R5" s="172"/>
    </row>
    <row r="6" spans="1:18" ht="18" customHeight="1" x14ac:dyDescent="0.25">
      <c r="A6" s="502"/>
      <c r="B6" s="478" t="s">
        <v>561</v>
      </c>
      <c r="C6" s="480" t="s">
        <v>147</v>
      </c>
      <c r="D6" s="489" t="s">
        <v>148</v>
      </c>
      <c r="E6" s="489" t="s">
        <v>89</v>
      </c>
      <c r="F6" s="489" t="s">
        <v>19</v>
      </c>
      <c r="G6" s="12">
        <v>5.2</v>
      </c>
      <c r="H6" s="13">
        <v>7.86</v>
      </c>
      <c r="I6" s="489" t="s">
        <v>149</v>
      </c>
      <c r="J6" s="489" t="s">
        <v>14</v>
      </c>
      <c r="K6" s="499">
        <v>45130</v>
      </c>
      <c r="L6" s="15" t="s">
        <v>150</v>
      </c>
      <c r="M6" s="16">
        <v>36.511200000000002</v>
      </c>
      <c r="N6" s="486" t="s">
        <v>580</v>
      </c>
      <c r="O6" s="482" t="s">
        <v>0</v>
      </c>
      <c r="P6" s="167" t="s">
        <v>2</v>
      </c>
      <c r="Q6" s="167" t="s">
        <v>4</v>
      </c>
      <c r="R6" s="167" t="s">
        <v>4</v>
      </c>
    </row>
    <row r="7" spans="1:18" ht="18.3" customHeight="1" x14ac:dyDescent="0.25">
      <c r="A7" s="502"/>
      <c r="B7" s="479"/>
      <c r="C7" s="481"/>
      <c r="D7" s="494"/>
      <c r="E7" s="494"/>
      <c r="F7" s="494"/>
      <c r="G7" s="12">
        <v>5.2</v>
      </c>
      <c r="H7" s="13">
        <v>7.86</v>
      </c>
      <c r="I7" s="494"/>
      <c r="J7" s="494"/>
      <c r="K7" s="500"/>
      <c r="L7" s="15" t="s">
        <v>151</v>
      </c>
      <c r="M7" s="16">
        <v>36.8093</v>
      </c>
      <c r="N7" s="487"/>
      <c r="O7" s="501"/>
      <c r="P7" s="167" t="s">
        <v>2</v>
      </c>
      <c r="Q7" s="167" t="s">
        <v>4</v>
      </c>
      <c r="R7" s="167" t="s">
        <v>4</v>
      </c>
    </row>
    <row r="8" spans="1:18" ht="15" customHeight="1" x14ac:dyDescent="0.25">
      <c r="A8" s="502"/>
      <c r="B8" s="475" t="s">
        <v>152</v>
      </c>
      <c r="C8" s="476"/>
      <c r="D8" s="476"/>
      <c r="E8" s="476"/>
      <c r="F8" s="476"/>
      <c r="G8" s="476"/>
      <c r="H8" s="476"/>
      <c r="I8" s="476"/>
      <c r="J8" s="476"/>
      <c r="K8" s="476"/>
      <c r="L8" s="476"/>
      <c r="M8" s="476"/>
      <c r="N8" s="476"/>
      <c r="O8" s="476"/>
      <c r="P8" s="176"/>
      <c r="Q8" s="176"/>
      <c r="R8" s="176"/>
    </row>
    <row r="9" spans="1:18" ht="30.75" customHeight="1" x14ac:dyDescent="0.25">
      <c r="A9" s="502"/>
      <c r="B9" s="23">
        <v>2</v>
      </c>
      <c r="C9" s="24" t="s">
        <v>153</v>
      </c>
      <c r="D9" s="46" t="s">
        <v>293</v>
      </c>
      <c r="E9" s="15" t="s">
        <v>36</v>
      </c>
      <c r="F9" s="15" t="s">
        <v>19</v>
      </c>
      <c r="G9" s="12">
        <v>2.5</v>
      </c>
      <c r="H9" s="13">
        <v>7.86</v>
      </c>
      <c r="I9" s="15" t="s">
        <v>154</v>
      </c>
      <c r="J9" s="15" t="s">
        <v>14</v>
      </c>
      <c r="K9" s="198">
        <v>45130</v>
      </c>
      <c r="L9" s="15" t="s">
        <v>155</v>
      </c>
      <c r="M9" s="16">
        <v>17.386600000000001</v>
      </c>
      <c r="N9" s="15" t="s">
        <v>452</v>
      </c>
      <c r="O9" s="199" t="s">
        <v>0</v>
      </c>
      <c r="P9" s="167" t="s">
        <v>2</v>
      </c>
      <c r="Q9" s="167" t="s">
        <v>4</v>
      </c>
      <c r="R9" s="167" t="s">
        <v>4</v>
      </c>
    </row>
    <row r="10" spans="1:18" ht="33.299999999999997" customHeight="1" x14ac:dyDescent="0.25">
      <c r="A10" s="502"/>
      <c r="B10" s="23">
        <v>3</v>
      </c>
      <c r="C10" s="24" t="s">
        <v>156</v>
      </c>
      <c r="D10" s="15" t="s">
        <v>148</v>
      </c>
      <c r="E10" s="15" t="s">
        <v>36</v>
      </c>
      <c r="F10" s="15" t="s">
        <v>19</v>
      </c>
      <c r="G10" s="12">
        <v>2.5</v>
      </c>
      <c r="H10" s="13">
        <v>7.86</v>
      </c>
      <c r="I10" s="15" t="s">
        <v>157</v>
      </c>
      <c r="J10" s="15" t="s">
        <v>14</v>
      </c>
      <c r="K10" s="198">
        <v>45130</v>
      </c>
      <c r="L10" s="15" t="s">
        <v>158</v>
      </c>
      <c r="M10" s="16">
        <v>17.9588</v>
      </c>
      <c r="N10" s="15" t="s">
        <v>452</v>
      </c>
      <c r="O10" s="199" t="s">
        <v>0</v>
      </c>
      <c r="P10" s="167" t="s">
        <v>2</v>
      </c>
      <c r="Q10" s="167" t="s">
        <v>4</v>
      </c>
      <c r="R10" s="167" t="s">
        <v>4</v>
      </c>
    </row>
    <row r="11" spans="1:18" ht="15" customHeight="1" x14ac:dyDescent="0.25">
      <c r="A11" s="502"/>
      <c r="B11" s="475" t="s">
        <v>159</v>
      </c>
      <c r="C11" s="476"/>
      <c r="D11" s="476"/>
      <c r="E11" s="476"/>
      <c r="F11" s="476"/>
      <c r="G11" s="476"/>
      <c r="H11" s="476"/>
      <c r="I11" s="476"/>
      <c r="J11" s="476"/>
      <c r="K11" s="476"/>
      <c r="L11" s="476"/>
      <c r="M11" s="476"/>
      <c r="N11" s="476"/>
      <c r="O11" s="476"/>
      <c r="P11" s="176"/>
      <c r="Q11" s="176"/>
      <c r="R11" s="176"/>
    </row>
    <row r="12" spans="1:18" ht="33" customHeight="1" x14ac:dyDescent="0.25">
      <c r="A12" s="502"/>
      <c r="B12" s="23">
        <v>4</v>
      </c>
      <c r="C12" s="24" t="s">
        <v>160</v>
      </c>
      <c r="D12" s="46" t="s">
        <v>293</v>
      </c>
      <c r="E12" s="15" t="s">
        <v>36</v>
      </c>
      <c r="F12" s="15" t="s">
        <v>19</v>
      </c>
      <c r="G12" s="12">
        <v>2.5</v>
      </c>
      <c r="H12" s="13">
        <v>7.86</v>
      </c>
      <c r="I12" s="15" t="s">
        <v>157</v>
      </c>
      <c r="J12" s="15" t="s">
        <v>14</v>
      </c>
      <c r="K12" s="198">
        <v>45130</v>
      </c>
      <c r="L12" s="15" t="s">
        <v>161</v>
      </c>
      <c r="M12" s="16">
        <v>17.479500000000002</v>
      </c>
      <c r="N12" s="15" t="s">
        <v>452</v>
      </c>
      <c r="O12" s="199" t="s">
        <v>0</v>
      </c>
      <c r="P12" s="194" t="s">
        <v>123</v>
      </c>
      <c r="Q12" s="194" t="s">
        <v>124</v>
      </c>
      <c r="R12" s="194" t="s">
        <v>120</v>
      </c>
    </row>
    <row r="13" spans="1:18" ht="15" customHeight="1" x14ac:dyDescent="0.25">
      <c r="A13" s="502"/>
      <c r="B13" s="475" t="s">
        <v>162</v>
      </c>
      <c r="C13" s="476"/>
      <c r="D13" s="476"/>
      <c r="E13" s="476"/>
      <c r="F13" s="476"/>
      <c r="G13" s="476"/>
      <c r="H13" s="476"/>
      <c r="I13" s="476"/>
      <c r="J13" s="476"/>
      <c r="K13" s="476"/>
      <c r="L13" s="476"/>
      <c r="M13" s="476"/>
      <c r="N13" s="476"/>
      <c r="O13" s="476"/>
      <c r="P13" s="176"/>
      <c r="Q13" s="176"/>
      <c r="R13" s="176"/>
    </row>
    <row r="14" spans="1:18" ht="18" customHeight="1" x14ac:dyDescent="0.25">
      <c r="A14" s="502"/>
      <c r="B14" s="478">
        <v>5</v>
      </c>
      <c r="C14" s="480" t="s">
        <v>163</v>
      </c>
      <c r="D14" s="486" t="s">
        <v>293</v>
      </c>
      <c r="E14" s="489" t="s">
        <v>89</v>
      </c>
      <c r="F14" s="489" t="s">
        <v>19</v>
      </c>
      <c r="G14" s="495">
        <v>5.2</v>
      </c>
      <c r="H14" s="497">
        <v>7.86</v>
      </c>
      <c r="I14" s="489" t="s">
        <v>164</v>
      </c>
      <c r="J14" s="489" t="s">
        <v>14</v>
      </c>
      <c r="K14" s="499">
        <v>45131</v>
      </c>
      <c r="L14" s="15" t="s">
        <v>165</v>
      </c>
      <c r="M14" s="16">
        <v>36.8855</v>
      </c>
      <c r="N14" s="489" t="s">
        <v>452</v>
      </c>
      <c r="O14" s="482" t="s">
        <v>0</v>
      </c>
      <c r="P14" s="167" t="s">
        <v>2</v>
      </c>
      <c r="Q14" s="167" t="s">
        <v>4</v>
      </c>
      <c r="R14" s="167" t="s">
        <v>4</v>
      </c>
    </row>
    <row r="15" spans="1:18" ht="18.3" customHeight="1" x14ac:dyDescent="0.25">
      <c r="A15" s="502"/>
      <c r="B15" s="479"/>
      <c r="C15" s="481"/>
      <c r="D15" s="487"/>
      <c r="E15" s="494"/>
      <c r="F15" s="494"/>
      <c r="G15" s="496"/>
      <c r="H15" s="498"/>
      <c r="I15" s="494"/>
      <c r="J15" s="494"/>
      <c r="K15" s="500"/>
      <c r="L15" s="15" t="s">
        <v>166</v>
      </c>
      <c r="M15" s="16">
        <v>36.884099999999997</v>
      </c>
      <c r="N15" s="494"/>
      <c r="O15" s="501"/>
      <c r="P15" s="167" t="s">
        <v>2</v>
      </c>
      <c r="Q15" s="167" t="s">
        <v>4</v>
      </c>
      <c r="R15" s="167" t="s">
        <v>4</v>
      </c>
    </row>
    <row r="16" spans="1:18" ht="18.3" customHeight="1" x14ac:dyDescent="0.25">
      <c r="A16" s="502"/>
      <c r="B16" s="478">
        <v>6</v>
      </c>
      <c r="C16" s="480" t="s">
        <v>167</v>
      </c>
      <c r="D16" s="489" t="s">
        <v>148</v>
      </c>
      <c r="E16" s="489" t="s">
        <v>89</v>
      </c>
      <c r="F16" s="489" t="s">
        <v>168</v>
      </c>
      <c r="G16" s="495">
        <v>5.2</v>
      </c>
      <c r="H16" s="497">
        <v>7.86</v>
      </c>
      <c r="I16" s="489" t="s">
        <v>169</v>
      </c>
      <c r="J16" s="489" t="s">
        <v>14</v>
      </c>
      <c r="K16" s="499">
        <v>45131</v>
      </c>
      <c r="L16" s="15" t="s">
        <v>170</v>
      </c>
      <c r="M16" s="16">
        <v>36.8444</v>
      </c>
      <c r="N16" s="489" t="s">
        <v>452</v>
      </c>
      <c r="O16" s="482" t="s">
        <v>0</v>
      </c>
      <c r="P16" s="167" t="s">
        <v>2</v>
      </c>
      <c r="Q16" s="167" t="s">
        <v>4</v>
      </c>
      <c r="R16" s="167" t="s">
        <v>4</v>
      </c>
    </row>
    <row r="17" spans="1:18" ht="18.3" customHeight="1" x14ac:dyDescent="0.25">
      <c r="A17" s="502"/>
      <c r="B17" s="479"/>
      <c r="C17" s="481"/>
      <c r="D17" s="494"/>
      <c r="E17" s="494"/>
      <c r="F17" s="494"/>
      <c r="G17" s="496"/>
      <c r="H17" s="498"/>
      <c r="I17" s="494"/>
      <c r="J17" s="494"/>
      <c r="K17" s="500"/>
      <c r="L17" s="15" t="s">
        <v>171</v>
      </c>
      <c r="M17" s="16">
        <v>36.944099999999999</v>
      </c>
      <c r="N17" s="494"/>
      <c r="O17" s="501"/>
      <c r="P17" s="167" t="s">
        <v>2</v>
      </c>
      <c r="Q17" s="167" t="s">
        <v>4</v>
      </c>
      <c r="R17" s="167" t="s">
        <v>4</v>
      </c>
    </row>
    <row r="18" spans="1:18" ht="18.3" customHeight="1" x14ac:dyDescent="0.25">
      <c r="A18" s="502"/>
      <c r="B18" s="478">
        <v>7</v>
      </c>
      <c r="C18" s="480" t="s">
        <v>172</v>
      </c>
      <c r="D18" s="489" t="s">
        <v>148</v>
      </c>
      <c r="E18" s="489" t="s">
        <v>89</v>
      </c>
      <c r="F18" s="489" t="s">
        <v>168</v>
      </c>
      <c r="G18" s="495">
        <v>5.2</v>
      </c>
      <c r="H18" s="497">
        <v>7.86</v>
      </c>
      <c r="I18" s="489" t="s">
        <v>173</v>
      </c>
      <c r="J18" s="489" t="s">
        <v>14</v>
      </c>
      <c r="K18" s="499">
        <v>45130</v>
      </c>
      <c r="L18" s="15" t="s">
        <v>174</v>
      </c>
      <c r="M18" s="16">
        <v>36.9255</v>
      </c>
      <c r="N18" s="489" t="s">
        <v>452</v>
      </c>
      <c r="O18" s="482" t="s">
        <v>0</v>
      </c>
      <c r="P18" s="167" t="s">
        <v>2</v>
      </c>
      <c r="Q18" s="167" t="s">
        <v>4</v>
      </c>
      <c r="R18" s="167" t="s">
        <v>4</v>
      </c>
    </row>
    <row r="19" spans="1:18" ht="18.3" customHeight="1" x14ac:dyDescent="0.25">
      <c r="A19" s="502"/>
      <c r="B19" s="479"/>
      <c r="C19" s="481"/>
      <c r="D19" s="494"/>
      <c r="E19" s="494"/>
      <c r="F19" s="494"/>
      <c r="G19" s="496"/>
      <c r="H19" s="498"/>
      <c r="I19" s="494"/>
      <c r="J19" s="494"/>
      <c r="K19" s="500"/>
      <c r="L19" s="15" t="s">
        <v>175</v>
      </c>
      <c r="M19" s="16">
        <v>36.927</v>
      </c>
      <c r="N19" s="494"/>
      <c r="O19" s="501"/>
      <c r="P19" s="167" t="s">
        <v>2</v>
      </c>
      <c r="Q19" s="167" t="s">
        <v>4</v>
      </c>
      <c r="R19" s="167" t="s">
        <v>4</v>
      </c>
    </row>
    <row r="20" spans="1:18" ht="15" customHeight="1" x14ac:dyDescent="0.25">
      <c r="A20" s="502"/>
      <c r="B20" s="475" t="s">
        <v>176</v>
      </c>
      <c r="C20" s="476"/>
      <c r="D20" s="476"/>
      <c r="E20" s="476"/>
      <c r="F20" s="476"/>
      <c r="G20" s="476"/>
      <c r="H20" s="476"/>
      <c r="I20" s="476"/>
      <c r="J20" s="476"/>
      <c r="K20" s="476"/>
      <c r="L20" s="476"/>
      <c r="M20" s="476"/>
      <c r="N20" s="476"/>
      <c r="O20" s="476"/>
      <c r="P20" s="521"/>
      <c r="Q20" s="521"/>
      <c r="R20" s="176"/>
    </row>
    <row r="21" spans="1:18" ht="18" customHeight="1" x14ac:dyDescent="0.25">
      <c r="A21" s="502"/>
      <c r="B21" s="478">
        <v>8</v>
      </c>
      <c r="C21" s="480" t="s">
        <v>177</v>
      </c>
      <c r="D21" s="489" t="s">
        <v>148</v>
      </c>
      <c r="E21" s="489" t="s">
        <v>89</v>
      </c>
      <c r="F21" s="489" t="s">
        <v>19</v>
      </c>
      <c r="G21" s="495">
        <v>5.2</v>
      </c>
      <c r="H21" s="497">
        <v>7.86</v>
      </c>
      <c r="I21" s="489" t="s">
        <v>169</v>
      </c>
      <c r="J21" s="489" t="s">
        <v>14</v>
      </c>
      <c r="K21" s="499">
        <v>45129</v>
      </c>
      <c r="L21" s="15" t="s">
        <v>178</v>
      </c>
      <c r="M21" s="16">
        <v>37.090000000000003</v>
      </c>
      <c r="N21" s="489" t="s">
        <v>453</v>
      </c>
      <c r="O21" s="482" t="s">
        <v>0</v>
      </c>
      <c r="P21" s="167" t="s">
        <v>2</v>
      </c>
      <c r="Q21" s="167" t="s">
        <v>4</v>
      </c>
      <c r="R21" s="167" t="s">
        <v>4</v>
      </c>
    </row>
    <row r="22" spans="1:18" ht="18.3" customHeight="1" x14ac:dyDescent="0.25">
      <c r="A22" s="502"/>
      <c r="B22" s="492"/>
      <c r="C22" s="493"/>
      <c r="D22" s="491"/>
      <c r="E22" s="491"/>
      <c r="F22" s="491"/>
      <c r="G22" s="503"/>
      <c r="H22" s="504"/>
      <c r="I22" s="491"/>
      <c r="J22" s="491"/>
      <c r="K22" s="505"/>
      <c r="L22" s="11" t="s">
        <v>179</v>
      </c>
      <c r="M22" s="34">
        <v>37.015300000000003</v>
      </c>
      <c r="N22" s="491"/>
      <c r="O22" s="518"/>
      <c r="P22" s="167" t="s">
        <v>2</v>
      </c>
      <c r="Q22" s="167" t="s">
        <v>4</v>
      </c>
      <c r="R22" s="167" t="s">
        <v>4</v>
      </c>
    </row>
    <row r="23" spans="1:18" ht="18.75" customHeight="1" x14ac:dyDescent="0.25">
      <c r="A23" s="502"/>
      <c r="B23" s="492">
        <v>9</v>
      </c>
      <c r="C23" s="493" t="s">
        <v>180</v>
      </c>
      <c r="D23" s="491" t="s">
        <v>148</v>
      </c>
      <c r="E23" s="491" t="s">
        <v>89</v>
      </c>
      <c r="F23" s="491" t="s">
        <v>168</v>
      </c>
      <c r="G23" s="503">
        <v>5.2</v>
      </c>
      <c r="H23" s="504">
        <v>7.86</v>
      </c>
      <c r="I23" s="491" t="s">
        <v>169</v>
      </c>
      <c r="J23" s="491" t="s">
        <v>14</v>
      </c>
      <c r="K23" s="505">
        <v>45129</v>
      </c>
      <c r="L23" s="20" t="s">
        <v>181</v>
      </c>
      <c r="M23" s="35">
        <v>36.760199999999998</v>
      </c>
      <c r="N23" s="491" t="s">
        <v>453</v>
      </c>
      <c r="O23" s="518" t="s">
        <v>0</v>
      </c>
      <c r="P23" s="200" t="s">
        <v>436</v>
      </c>
      <c r="Q23" s="195" t="s">
        <v>4</v>
      </c>
      <c r="R23" s="195" t="s">
        <v>4</v>
      </c>
    </row>
    <row r="24" spans="1:18" ht="18.3" customHeight="1" x14ac:dyDescent="0.25">
      <c r="A24" s="502"/>
      <c r="B24" s="479"/>
      <c r="C24" s="481"/>
      <c r="D24" s="494"/>
      <c r="E24" s="494"/>
      <c r="F24" s="494"/>
      <c r="G24" s="496"/>
      <c r="H24" s="498"/>
      <c r="I24" s="494"/>
      <c r="J24" s="494"/>
      <c r="K24" s="500"/>
      <c r="L24" s="15" t="s">
        <v>182</v>
      </c>
      <c r="M24" s="16">
        <v>37.000700000000002</v>
      </c>
      <c r="N24" s="494"/>
      <c r="O24" s="501"/>
      <c r="P24" s="200" t="s">
        <v>436</v>
      </c>
      <c r="Q24" s="195" t="s">
        <v>4</v>
      </c>
      <c r="R24" s="195" t="s">
        <v>4</v>
      </c>
    </row>
    <row r="25" spans="1:18" ht="43.8" customHeight="1" x14ac:dyDescent="0.25">
      <c r="A25" s="502"/>
      <c r="B25" s="23">
        <v>10</v>
      </c>
      <c r="C25" s="24" t="s">
        <v>183</v>
      </c>
      <c r="D25" s="15" t="s">
        <v>148</v>
      </c>
      <c r="E25" s="15" t="s">
        <v>36</v>
      </c>
      <c r="F25" s="15" t="s">
        <v>19</v>
      </c>
      <c r="G25" s="12">
        <v>2.5</v>
      </c>
      <c r="H25" s="13">
        <v>7.86</v>
      </c>
      <c r="I25" s="15" t="s">
        <v>184</v>
      </c>
      <c r="J25" s="15" t="s">
        <v>14</v>
      </c>
      <c r="K25" s="198">
        <v>45128</v>
      </c>
      <c r="L25" s="15" t="s">
        <v>185</v>
      </c>
      <c r="M25" s="16">
        <v>17.154499999999999</v>
      </c>
      <c r="N25" s="15" t="s">
        <v>453</v>
      </c>
      <c r="O25" s="199" t="s">
        <v>0</v>
      </c>
      <c r="P25" s="167" t="s">
        <v>2</v>
      </c>
      <c r="Q25" s="167" t="s">
        <v>4</v>
      </c>
      <c r="R25" s="167" t="s">
        <v>4</v>
      </c>
    </row>
    <row r="26" spans="1:18" ht="18.3" customHeight="1" x14ac:dyDescent="0.25">
      <c r="A26" s="502"/>
      <c r="B26" s="478">
        <v>11</v>
      </c>
      <c r="C26" s="480" t="s">
        <v>186</v>
      </c>
      <c r="D26" s="489" t="s">
        <v>187</v>
      </c>
      <c r="E26" s="489" t="s">
        <v>89</v>
      </c>
      <c r="F26" s="489" t="s">
        <v>168</v>
      </c>
      <c r="G26" s="495">
        <v>5.2</v>
      </c>
      <c r="H26" s="497">
        <v>7.86</v>
      </c>
      <c r="I26" s="489" t="s">
        <v>188</v>
      </c>
      <c r="J26" s="489" t="s">
        <v>14</v>
      </c>
      <c r="K26" s="499">
        <v>45128</v>
      </c>
      <c r="L26" s="15" t="s">
        <v>189</v>
      </c>
      <c r="M26" s="16">
        <v>36.852800000000002</v>
      </c>
      <c r="N26" s="489" t="s">
        <v>453</v>
      </c>
      <c r="O26" s="482" t="s">
        <v>0</v>
      </c>
      <c r="P26" s="167" t="s">
        <v>2</v>
      </c>
      <c r="Q26" s="167" t="s">
        <v>4</v>
      </c>
      <c r="R26" s="167" t="s">
        <v>4</v>
      </c>
    </row>
    <row r="27" spans="1:18" ht="18.3" customHeight="1" x14ac:dyDescent="0.25">
      <c r="A27" s="502"/>
      <c r="B27" s="479"/>
      <c r="C27" s="481"/>
      <c r="D27" s="494"/>
      <c r="E27" s="494"/>
      <c r="F27" s="494"/>
      <c r="G27" s="496"/>
      <c r="H27" s="498"/>
      <c r="I27" s="494"/>
      <c r="J27" s="494"/>
      <c r="K27" s="500"/>
      <c r="L27" s="15" t="s">
        <v>190</v>
      </c>
      <c r="M27" s="16">
        <v>36.823900000000002</v>
      </c>
      <c r="N27" s="494"/>
      <c r="O27" s="501"/>
      <c r="P27" s="167" t="s">
        <v>2</v>
      </c>
      <c r="Q27" s="167" t="s">
        <v>4</v>
      </c>
      <c r="R27" s="167" t="s">
        <v>4</v>
      </c>
    </row>
    <row r="28" spans="1:18" ht="21.75" customHeight="1" x14ac:dyDescent="0.25">
      <c r="A28" s="502"/>
      <c r="B28" s="478">
        <v>12</v>
      </c>
      <c r="C28" s="480" t="s">
        <v>191</v>
      </c>
      <c r="D28" s="489" t="s">
        <v>148</v>
      </c>
      <c r="E28" s="489" t="s">
        <v>192</v>
      </c>
      <c r="F28" s="489" t="s">
        <v>19</v>
      </c>
      <c r="G28" s="495">
        <v>2.5</v>
      </c>
      <c r="H28" s="497">
        <v>7.86</v>
      </c>
      <c r="I28" s="489" t="s">
        <v>193</v>
      </c>
      <c r="J28" s="489" t="s">
        <v>14</v>
      </c>
      <c r="K28" s="499">
        <v>45129</v>
      </c>
      <c r="L28" s="15" t="s">
        <v>194</v>
      </c>
      <c r="M28" s="16">
        <v>36.9129</v>
      </c>
      <c r="N28" s="489" t="s">
        <v>453</v>
      </c>
      <c r="O28" s="482" t="s">
        <v>0</v>
      </c>
      <c r="P28" s="200" t="s">
        <v>436</v>
      </c>
      <c r="Q28" s="195" t="s">
        <v>4</v>
      </c>
      <c r="R28" s="195" t="s">
        <v>4</v>
      </c>
    </row>
    <row r="29" spans="1:18" ht="21.75" customHeight="1" x14ac:dyDescent="0.25">
      <c r="A29" s="502"/>
      <c r="B29" s="479"/>
      <c r="C29" s="481"/>
      <c r="D29" s="494"/>
      <c r="E29" s="494"/>
      <c r="F29" s="494"/>
      <c r="G29" s="496"/>
      <c r="H29" s="498"/>
      <c r="I29" s="494"/>
      <c r="J29" s="494"/>
      <c r="K29" s="500"/>
      <c r="L29" s="15" t="s">
        <v>195</v>
      </c>
      <c r="M29" s="16">
        <v>37.032400000000003</v>
      </c>
      <c r="N29" s="494"/>
      <c r="O29" s="501"/>
      <c r="P29" s="200" t="s">
        <v>436</v>
      </c>
      <c r="Q29" s="195" t="s">
        <v>4</v>
      </c>
      <c r="R29" s="195" t="s">
        <v>4</v>
      </c>
    </row>
    <row r="30" spans="1:18" ht="18.3" customHeight="1" x14ac:dyDescent="0.25">
      <c r="A30" s="502"/>
      <c r="B30" s="478">
        <v>13</v>
      </c>
      <c r="C30" s="480" t="s">
        <v>196</v>
      </c>
      <c r="D30" s="486" t="s">
        <v>294</v>
      </c>
      <c r="E30" s="489" t="s">
        <v>192</v>
      </c>
      <c r="F30" s="489" t="s">
        <v>168</v>
      </c>
      <c r="G30" s="497">
        <v>5.25</v>
      </c>
      <c r="H30" s="497">
        <v>7.86</v>
      </c>
      <c r="I30" s="489" t="s">
        <v>197</v>
      </c>
      <c r="J30" s="489" t="s">
        <v>14</v>
      </c>
      <c r="K30" s="499">
        <v>45129</v>
      </c>
      <c r="L30" s="46"/>
      <c r="M30" s="46"/>
      <c r="N30" s="489" t="s">
        <v>453</v>
      </c>
      <c r="O30" s="482" t="s">
        <v>454</v>
      </c>
      <c r="P30" s="194" t="s">
        <v>123</v>
      </c>
      <c r="Q30" s="194" t="s">
        <v>124</v>
      </c>
      <c r="R30" s="194" t="s">
        <v>120</v>
      </c>
    </row>
    <row r="31" spans="1:18" ht="18.3" customHeight="1" x14ac:dyDescent="0.25">
      <c r="A31" s="502"/>
      <c r="B31" s="479"/>
      <c r="C31" s="481"/>
      <c r="D31" s="487"/>
      <c r="E31" s="494"/>
      <c r="F31" s="494"/>
      <c r="G31" s="498"/>
      <c r="H31" s="498"/>
      <c r="I31" s="494"/>
      <c r="J31" s="494"/>
      <c r="K31" s="500"/>
      <c r="L31" s="46"/>
      <c r="M31" s="46"/>
      <c r="N31" s="494"/>
      <c r="O31" s="501"/>
      <c r="P31" s="194" t="s">
        <v>123</v>
      </c>
      <c r="Q31" s="194" t="s">
        <v>124</v>
      </c>
      <c r="R31" s="194" t="s">
        <v>120</v>
      </c>
    </row>
    <row r="32" spans="1:18" ht="15" customHeight="1" x14ac:dyDescent="0.25">
      <c r="A32" s="502"/>
      <c r="B32" s="475" t="s">
        <v>198</v>
      </c>
      <c r="C32" s="476"/>
      <c r="D32" s="476"/>
      <c r="E32" s="476"/>
      <c r="F32" s="476"/>
      <c r="G32" s="476"/>
      <c r="H32" s="476"/>
      <c r="I32" s="476"/>
      <c r="J32" s="476"/>
      <c r="K32" s="476"/>
      <c r="L32" s="476"/>
      <c r="M32" s="476"/>
      <c r="N32" s="476"/>
      <c r="O32" s="476"/>
      <c r="P32" s="521"/>
      <c r="Q32" s="521"/>
      <c r="R32" s="176"/>
    </row>
    <row r="33" spans="1:18" ht="19.2" customHeight="1" x14ac:dyDescent="0.25">
      <c r="A33" s="502"/>
      <c r="B33" s="478">
        <v>14</v>
      </c>
      <c r="C33" s="480" t="s">
        <v>199</v>
      </c>
      <c r="D33" s="489" t="s">
        <v>148</v>
      </c>
      <c r="E33" s="489" t="s">
        <v>192</v>
      </c>
      <c r="F33" s="489" t="s">
        <v>168</v>
      </c>
      <c r="G33" s="497">
        <v>5.25</v>
      </c>
      <c r="H33" s="497">
        <v>7.86</v>
      </c>
      <c r="I33" s="489" t="s">
        <v>200</v>
      </c>
      <c r="J33" s="489" t="s">
        <v>14</v>
      </c>
      <c r="K33" s="499">
        <v>45129</v>
      </c>
      <c r="L33" s="15" t="s">
        <v>201</v>
      </c>
      <c r="M33" s="16">
        <v>36.616100000000003</v>
      </c>
      <c r="N33" s="489" t="s">
        <v>455</v>
      </c>
      <c r="O33" s="482" t="s">
        <v>0</v>
      </c>
      <c r="P33" s="167" t="s">
        <v>2</v>
      </c>
      <c r="Q33" s="167" t="s">
        <v>4</v>
      </c>
      <c r="R33" s="167" t="s">
        <v>4</v>
      </c>
    </row>
    <row r="34" spans="1:18" ht="19.5" customHeight="1" x14ac:dyDescent="0.25">
      <c r="A34" s="502"/>
      <c r="B34" s="479"/>
      <c r="C34" s="481"/>
      <c r="D34" s="494"/>
      <c r="E34" s="494"/>
      <c r="F34" s="494"/>
      <c r="G34" s="498"/>
      <c r="H34" s="498"/>
      <c r="I34" s="494"/>
      <c r="J34" s="494"/>
      <c r="K34" s="500"/>
      <c r="L34" s="15" t="s">
        <v>202</v>
      </c>
      <c r="M34" s="16">
        <v>36.902299999999997</v>
      </c>
      <c r="N34" s="494"/>
      <c r="O34" s="501"/>
      <c r="P34" s="167" t="s">
        <v>2</v>
      </c>
      <c r="Q34" s="167" t="s">
        <v>4</v>
      </c>
      <c r="R34" s="167" t="s">
        <v>4</v>
      </c>
    </row>
    <row r="35" spans="1:18" ht="15" customHeight="1" x14ac:dyDescent="0.25">
      <c r="A35" s="502"/>
      <c r="B35" s="475" t="s">
        <v>203</v>
      </c>
      <c r="C35" s="476"/>
      <c r="D35" s="476"/>
      <c r="E35" s="476"/>
      <c r="F35" s="476"/>
      <c r="G35" s="476"/>
      <c r="H35" s="476"/>
      <c r="I35" s="476"/>
      <c r="J35" s="476"/>
      <c r="K35" s="476"/>
      <c r="L35" s="476"/>
      <c r="M35" s="476"/>
      <c r="N35" s="476"/>
      <c r="O35" s="476"/>
      <c r="P35" s="521"/>
      <c r="Q35" s="521"/>
      <c r="R35" s="176"/>
    </row>
    <row r="36" spans="1:18" ht="18" customHeight="1" x14ac:dyDescent="0.25">
      <c r="A36" s="502"/>
      <c r="B36" s="478">
        <v>15</v>
      </c>
      <c r="C36" s="480" t="s">
        <v>204</v>
      </c>
      <c r="D36" s="489" t="s">
        <v>148</v>
      </c>
      <c r="E36" s="489" t="s">
        <v>89</v>
      </c>
      <c r="F36" s="489" t="s">
        <v>19</v>
      </c>
      <c r="G36" s="495">
        <v>5.2</v>
      </c>
      <c r="H36" s="497">
        <v>7.86</v>
      </c>
      <c r="I36" s="489" t="s">
        <v>169</v>
      </c>
      <c r="J36" s="489" t="s">
        <v>14</v>
      </c>
      <c r="K36" s="499">
        <v>45128</v>
      </c>
      <c r="L36" s="15" t="s">
        <v>205</v>
      </c>
      <c r="M36" s="16">
        <v>36.808500000000002</v>
      </c>
      <c r="N36" s="489" t="s">
        <v>453</v>
      </c>
      <c r="O36" s="482" t="s">
        <v>0</v>
      </c>
      <c r="P36" s="167" t="s">
        <v>2</v>
      </c>
      <c r="Q36" s="167" t="s">
        <v>4</v>
      </c>
      <c r="R36" s="167" t="s">
        <v>4</v>
      </c>
    </row>
    <row r="37" spans="1:18" ht="18.3" customHeight="1" x14ac:dyDescent="0.25">
      <c r="A37" s="502"/>
      <c r="B37" s="479"/>
      <c r="C37" s="481"/>
      <c r="D37" s="494"/>
      <c r="E37" s="494"/>
      <c r="F37" s="494"/>
      <c r="G37" s="496"/>
      <c r="H37" s="498"/>
      <c r="I37" s="494"/>
      <c r="J37" s="494"/>
      <c r="K37" s="500"/>
      <c r="L37" s="15" t="s">
        <v>206</v>
      </c>
      <c r="M37" s="16">
        <v>36.734000000000002</v>
      </c>
      <c r="N37" s="494"/>
      <c r="O37" s="501"/>
      <c r="P37" s="167" t="s">
        <v>2</v>
      </c>
      <c r="Q37" s="167" t="s">
        <v>4</v>
      </c>
      <c r="R37" s="167" t="s">
        <v>4</v>
      </c>
    </row>
    <row r="38" spans="1:18" ht="13.95" customHeight="1" x14ac:dyDescent="0.25">
      <c r="A38" s="502"/>
      <c r="B38" s="475" t="s">
        <v>207</v>
      </c>
      <c r="C38" s="476"/>
      <c r="D38" s="476"/>
      <c r="E38" s="476"/>
      <c r="F38" s="476"/>
      <c r="G38" s="476"/>
      <c r="H38" s="476"/>
      <c r="I38" s="476"/>
      <c r="J38" s="476"/>
      <c r="K38" s="476"/>
      <c r="L38" s="476"/>
      <c r="M38" s="476"/>
      <c r="N38" s="476"/>
      <c r="O38" s="476"/>
      <c r="P38" s="521"/>
      <c r="Q38" s="521"/>
      <c r="R38" s="176"/>
    </row>
    <row r="39" spans="1:18" ht="18" customHeight="1" x14ac:dyDescent="0.25">
      <c r="A39" s="502"/>
      <c r="B39" s="478">
        <v>16</v>
      </c>
      <c r="C39" s="480" t="s">
        <v>208</v>
      </c>
      <c r="D39" s="486" t="s">
        <v>295</v>
      </c>
      <c r="E39" s="489" t="s">
        <v>89</v>
      </c>
      <c r="F39" s="489" t="s">
        <v>19</v>
      </c>
      <c r="G39" s="495">
        <v>5.2</v>
      </c>
      <c r="H39" s="497">
        <v>7.86</v>
      </c>
      <c r="I39" s="489" t="s">
        <v>209</v>
      </c>
      <c r="J39" s="489" t="s">
        <v>14</v>
      </c>
      <c r="K39" s="499">
        <v>45124</v>
      </c>
      <c r="L39" s="15" t="s">
        <v>210</v>
      </c>
      <c r="M39" s="16">
        <v>36.880499999999998</v>
      </c>
      <c r="N39" s="486" t="s">
        <v>581</v>
      </c>
      <c r="O39" s="482" t="s">
        <v>0</v>
      </c>
      <c r="P39" s="167" t="s">
        <v>2</v>
      </c>
      <c r="Q39" s="167" t="s">
        <v>4</v>
      </c>
      <c r="R39" s="167" t="s">
        <v>4</v>
      </c>
    </row>
    <row r="40" spans="1:18" ht="18.3" customHeight="1" x14ac:dyDescent="0.25">
      <c r="A40" s="502"/>
      <c r="B40" s="492"/>
      <c r="C40" s="493"/>
      <c r="D40" s="517"/>
      <c r="E40" s="491"/>
      <c r="F40" s="491"/>
      <c r="G40" s="503"/>
      <c r="H40" s="504"/>
      <c r="I40" s="491"/>
      <c r="J40" s="491"/>
      <c r="K40" s="505"/>
      <c r="L40" s="11" t="s">
        <v>211</v>
      </c>
      <c r="M40" s="34">
        <v>36.779000000000003</v>
      </c>
      <c r="N40" s="517"/>
      <c r="O40" s="518"/>
      <c r="P40" s="167" t="s">
        <v>2</v>
      </c>
      <c r="Q40" s="167" t="s">
        <v>4</v>
      </c>
      <c r="R40" s="167" t="s">
        <v>4</v>
      </c>
    </row>
    <row r="41" spans="1:18" ht="18" customHeight="1" x14ac:dyDescent="0.25">
      <c r="A41" s="502"/>
      <c r="B41" s="492">
        <v>17</v>
      </c>
      <c r="C41" s="493" t="s">
        <v>212</v>
      </c>
      <c r="D41" s="491" t="s">
        <v>148</v>
      </c>
      <c r="E41" s="517"/>
      <c r="F41" s="517"/>
      <c r="G41" s="517"/>
      <c r="H41" s="517"/>
      <c r="I41" s="517"/>
      <c r="J41" s="517"/>
      <c r="K41" s="517"/>
      <c r="L41" s="50"/>
      <c r="M41" s="50"/>
      <c r="N41" s="491" t="s">
        <v>456</v>
      </c>
      <c r="O41" s="518" t="s">
        <v>582</v>
      </c>
      <c r="P41" s="194" t="s">
        <v>123</v>
      </c>
      <c r="Q41" s="194" t="s">
        <v>124</v>
      </c>
      <c r="R41" s="194" t="s">
        <v>120</v>
      </c>
    </row>
    <row r="42" spans="1:18" ht="16.95" customHeight="1" x14ac:dyDescent="0.25">
      <c r="A42" s="502"/>
      <c r="B42" s="479"/>
      <c r="C42" s="481"/>
      <c r="D42" s="494"/>
      <c r="E42" s="487"/>
      <c r="F42" s="487"/>
      <c r="G42" s="487"/>
      <c r="H42" s="487"/>
      <c r="I42" s="487"/>
      <c r="J42" s="487"/>
      <c r="K42" s="487"/>
      <c r="L42" s="46"/>
      <c r="M42" s="46"/>
      <c r="N42" s="494"/>
      <c r="O42" s="501"/>
      <c r="P42" s="194" t="s">
        <v>123</v>
      </c>
      <c r="Q42" s="194" t="s">
        <v>124</v>
      </c>
      <c r="R42" s="194" t="s">
        <v>120</v>
      </c>
    </row>
    <row r="43" spans="1:18" ht="19.5" customHeight="1" x14ac:dyDescent="0.25">
      <c r="A43" s="502"/>
      <c r="B43" s="478">
        <v>18</v>
      </c>
      <c r="C43" s="480" t="s">
        <v>213</v>
      </c>
      <c r="D43" s="489" t="s">
        <v>148</v>
      </c>
      <c r="E43" s="486"/>
      <c r="F43" s="486"/>
      <c r="G43" s="486"/>
      <c r="H43" s="486"/>
      <c r="I43" s="486"/>
      <c r="J43" s="486"/>
      <c r="K43" s="486"/>
      <c r="L43" s="46"/>
      <c r="M43" s="46"/>
      <c r="N43" s="489" t="s">
        <v>456</v>
      </c>
      <c r="O43" s="482" t="s">
        <v>582</v>
      </c>
      <c r="P43" s="194" t="s">
        <v>123</v>
      </c>
      <c r="Q43" s="194" t="s">
        <v>124</v>
      </c>
      <c r="R43" s="194" t="s">
        <v>120</v>
      </c>
    </row>
    <row r="44" spans="1:18" ht="19.5" customHeight="1" x14ac:dyDescent="0.25">
      <c r="A44" s="502"/>
      <c r="B44" s="479"/>
      <c r="C44" s="481"/>
      <c r="D44" s="494"/>
      <c r="E44" s="487"/>
      <c r="F44" s="487"/>
      <c r="G44" s="487"/>
      <c r="H44" s="487"/>
      <c r="I44" s="487"/>
      <c r="J44" s="487"/>
      <c r="K44" s="487"/>
      <c r="L44" s="46"/>
      <c r="M44" s="46"/>
      <c r="N44" s="494"/>
      <c r="O44" s="501"/>
      <c r="P44" s="194" t="s">
        <v>123</v>
      </c>
      <c r="Q44" s="194" t="s">
        <v>124</v>
      </c>
      <c r="R44" s="194" t="s">
        <v>120</v>
      </c>
    </row>
    <row r="45" spans="1:18" ht="16.95" customHeight="1" x14ac:dyDescent="0.25">
      <c r="A45" s="502"/>
      <c r="B45" s="478">
        <v>19</v>
      </c>
      <c r="C45" s="480" t="s">
        <v>214</v>
      </c>
      <c r="D45" s="486" t="s">
        <v>296</v>
      </c>
      <c r="E45" s="486"/>
      <c r="F45" s="486"/>
      <c r="G45" s="486"/>
      <c r="H45" s="486"/>
      <c r="I45" s="486"/>
      <c r="J45" s="486"/>
      <c r="K45" s="486"/>
      <c r="L45" s="46"/>
      <c r="M45" s="46"/>
      <c r="N45" s="489" t="s">
        <v>456</v>
      </c>
      <c r="O45" s="482" t="s">
        <v>582</v>
      </c>
      <c r="P45" s="194" t="s">
        <v>123</v>
      </c>
      <c r="Q45" s="194" t="s">
        <v>124</v>
      </c>
      <c r="R45" s="194" t="s">
        <v>120</v>
      </c>
    </row>
    <row r="46" spans="1:18" ht="16.95" customHeight="1" x14ac:dyDescent="0.25">
      <c r="A46" s="502"/>
      <c r="B46" s="479"/>
      <c r="C46" s="481"/>
      <c r="D46" s="487"/>
      <c r="E46" s="487"/>
      <c r="F46" s="487"/>
      <c r="G46" s="487"/>
      <c r="H46" s="487"/>
      <c r="I46" s="487"/>
      <c r="J46" s="487"/>
      <c r="K46" s="487"/>
      <c r="L46" s="46"/>
      <c r="M46" s="46"/>
      <c r="N46" s="494"/>
      <c r="O46" s="501"/>
      <c r="P46" s="194" t="s">
        <v>123</v>
      </c>
      <c r="Q46" s="194" t="s">
        <v>124</v>
      </c>
      <c r="R46" s="194" t="s">
        <v>120</v>
      </c>
    </row>
    <row r="47" spans="1:18" ht="18.3" customHeight="1" x14ac:dyDescent="0.25">
      <c r="A47" s="502"/>
      <c r="B47" s="478">
        <v>20</v>
      </c>
      <c r="C47" s="480" t="s">
        <v>215</v>
      </c>
      <c r="D47" s="486" t="s">
        <v>296</v>
      </c>
      <c r="E47" s="486"/>
      <c r="F47" s="486"/>
      <c r="G47" s="486"/>
      <c r="H47" s="486"/>
      <c r="I47" s="486"/>
      <c r="J47" s="486"/>
      <c r="K47" s="486"/>
      <c r="L47" s="46"/>
      <c r="M47" s="46"/>
      <c r="N47" s="489" t="s">
        <v>457</v>
      </c>
      <c r="O47" s="482" t="s">
        <v>583</v>
      </c>
      <c r="P47" s="194" t="s">
        <v>123</v>
      </c>
      <c r="Q47" s="194" t="s">
        <v>124</v>
      </c>
      <c r="R47" s="194" t="s">
        <v>120</v>
      </c>
    </row>
    <row r="48" spans="1:18" ht="18.3" customHeight="1" x14ac:dyDescent="0.25">
      <c r="A48" s="502"/>
      <c r="B48" s="479"/>
      <c r="C48" s="481"/>
      <c r="D48" s="487"/>
      <c r="E48" s="487"/>
      <c r="F48" s="487"/>
      <c r="G48" s="487"/>
      <c r="H48" s="487"/>
      <c r="I48" s="487"/>
      <c r="J48" s="487"/>
      <c r="K48" s="487"/>
      <c r="L48" s="46"/>
      <c r="M48" s="46"/>
      <c r="N48" s="494"/>
      <c r="O48" s="501"/>
      <c r="P48" s="194" t="s">
        <v>123</v>
      </c>
      <c r="Q48" s="194" t="s">
        <v>124</v>
      </c>
      <c r="R48" s="194" t="s">
        <v>120</v>
      </c>
    </row>
    <row r="49" spans="1:18" ht="16.95" customHeight="1" x14ac:dyDescent="0.25">
      <c r="A49" s="502"/>
      <c r="B49" s="478">
        <v>21</v>
      </c>
      <c r="C49" s="480" t="s">
        <v>216</v>
      </c>
      <c r="D49" s="489" t="s">
        <v>148</v>
      </c>
      <c r="E49" s="486"/>
      <c r="F49" s="486"/>
      <c r="G49" s="486"/>
      <c r="H49" s="486"/>
      <c r="I49" s="486"/>
      <c r="J49" s="486"/>
      <c r="K49" s="486"/>
      <c r="L49" s="46"/>
      <c r="M49" s="46"/>
      <c r="N49" s="489" t="s">
        <v>458</v>
      </c>
      <c r="O49" s="482" t="s">
        <v>584</v>
      </c>
      <c r="P49" s="194" t="s">
        <v>123</v>
      </c>
      <c r="Q49" s="194" t="s">
        <v>124</v>
      </c>
      <c r="R49" s="194" t="s">
        <v>120</v>
      </c>
    </row>
    <row r="50" spans="1:18" ht="16.95" customHeight="1" x14ac:dyDescent="0.25">
      <c r="A50" s="502"/>
      <c r="B50" s="479"/>
      <c r="C50" s="481"/>
      <c r="D50" s="494"/>
      <c r="E50" s="487"/>
      <c r="F50" s="487"/>
      <c r="G50" s="487"/>
      <c r="H50" s="487"/>
      <c r="I50" s="487"/>
      <c r="J50" s="487"/>
      <c r="K50" s="487"/>
      <c r="L50" s="46"/>
      <c r="M50" s="46"/>
      <c r="N50" s="494"/>
      <c r="O50" s="501"/>
      <c r="P50" s="194" t="s">
        <v>123</v>
      </c>
      <c r="Q50" s="194" t="s">
        <v>124</v>
      </c>
      <c r="R50" s="194" t="s">
        <v>120</v>
      </c>
    </row>
    <row r="51" spans="1:18" ht="16.95" customHeight="1" x14ac:dyDescent="0.25">
      <c r="A51" s="502"/>
      <c r="B51" s="478">
        <v>22</v>
      </c>
      <c r="C51" s="480" t="s">
        <v>217</v>
      </c>
      <c r="D51" s="489" t="s">
        <v>148</v>
      </c>
      <c r="E51" s="486"/>
      <c r="F51" s="486"/>
      <c r="G51" s="486"/>
      <c r="H51" s="486"/>
      <c r="I51" s="486"/>
      <c r="J51" s="486"/>
      <c r="K51" s="486"/>
      <c r="L51" s="46"/>
      <c r="M51" s="46"/>
      <c r="N51" s="489" t="s">
        <v>459</v>
      </c>
      <c r="O51" s="482" t="s">
        <v>585</v>
      </c>
      <c r="P51" s="194" t="s">
        <v>123</v>
      </c>
      <c r="Q51" s="194" t="s">
        <v>124</v>
      </c>
      <c r="R51" s="194" t="s">
        <v>120</v>
      </c>
    </row>
    <row r="52" spans="1:18" ht="16.95" customHeight="1" x14ac:dyDescent="0.25">
      <c r="A52" s="502"/>
      <c r="B52" s="479"/>
      <c r="C52" s="481"/>
      <c r="D52" s="494"/>
      <c r="E52" s="487"/>
      <c r="F52" s="487"/>
      <c r="G52" s="487"/>
      <c r="H52" s="487"/>
      <c r="I52" s="487"/>
      <c r="J52" s="487"/>
      <c r="K52" s="487"/>
      <c r="L52" s="46"/>
      <c r="M52" s="46"/>
      <c r="N52" s="494"/>
      <c r="O52" s="501"/>
      <c r="P52" s="194" t="s">
        <v>123</v>
      </c>
      <c r="Q52" s="194" t="s">
        <v>124</v>
      </c>
      <c r="R52" s="194" t="s">
        <v>120</v>
      </c>
    </row>
    <row r="53" spans="1:18" ht="16.95" customHeight="1" x14ac:dyDescent="0.25">
      <c r="A53" s="502"/>
      <c r="B53" s="478">
        <v>23</v>
      </c>
      <c r="C53" s="480" t="s">
        <v>212</v>
      </c>
      <c r="D53" s="489" t="s">
        <v>148</v>
      </c>
      <c r="E53" s="486"/>
      <c r="F53" s="486"/>
      <c r="G53" s="486"/>
      <c r="H53" s="486"/>
      <c r="I53" s="486"/>
      <c r="J53" s="486"/>
      <c r="K53" s="486"/>
      <c r="L53" s="46"/>
      <c r="M53" s="46"/>
      <c r="N53" s="486" t="s">
        <v>586</v>
      </c>
      <c r="O53" s="482" t="s">
        <v>585</v>
      </c>
      <c r="P53" s="194" t="s">
        <v>123</v>
      </c>
      <c r="Q53" s="194" t="s">
        <v>124</v>
      </c>
      <c r="R53" s="194" t="s">
        <v>120</v>
      </c>
    </row>
    <row r="54" spans="1:18" ht="16.95" customHeight="1" x14ac:dyDescent="0.25">
      <c r="A54" s="502"/>
      <c r="B54" s="479"/>
      <c r="C54" s="481"/>
      <c r="D54" s="494"/>
      <c r="E54" s="487"/>
      <c r="F54" s="487"/>
      <c r="G54" s="487"/>
      <c r="H54" s="487"/>
      <c r="I54" s="487"/>
      <c r="J54" s="487"/>
      <c r="K54" s="487"/>
      <c r="L54" s="46"/>
      <c r="M54" s="46"/>
      <c r="N54" s="487"/>
      <c r="O54" s="501"/>
      <c r="P54" s="194" t="s">
        <v>123</v>
      </c>
      <c r="Q54" s="194" t="s">
        <v>124</v>
      </c>
      <c r="R54" s="194" t="s">
        <v>120</v>
      </c>
    </row>
    <row r="55" spans="1:18" ht="16.95" customHeight="1" x14ac:dyDescent="0.25">
      <c r="A55" s="502"/>
      <c r="B55" s="478">
        <v>24</v>
      </c>
      <c r="C55" s="480" t="s">
        <v>218</v>
      </c>
      <c r="D55" s="489" t="s">
        <v>148</v>
      </c>
      <c r="E55" s="489" t="s">
        <v>89</v>
      </c>
      <c r="F55" s="489" t="s">
        <v>19</v>
      </c>
      <c r="G55" s="495">
        <v>5.2</v>
      </c>
      <c r="H55" s="497">
        <v>7.86</v>
      </c>
      <c r="I55" s="489" t="s">
        <v>219</v>
      </c>
      <c r="J55" s="489" t="s">
        <v>14</v>
      </c>
      <c r="K55" s="499">
        <v>45124</v>
      </c>
      <c r="L55" s="15" t="s">
        <v>220</v>
      </c>
      <c r="M55" s="16">
        <v>37.017200000000003</v>
      </c>
      <c r="N55" s="489" t="s">
        <v>453</v>
      </c>
      <c r="O55" s="506"/>
      <c r="P55" s="194" t="s">
        <v>123</v>
      </c>
      <c r="Q55" s="194" t="s">
        <v>124</v>
      </c>
      <c r="R55" s="194" t="s">
        <v>120</v>
      </c>
    </row>
    <row r="56" spans="1:18" ht="16.95" customHeight="1" x14ac:dyDescent="0.25">
      <c r="A56" s="502"/>
      <c r="B56" s="479"/>
      <c r="C56" s="481"/>
      <c r="D56" s="494"/>
      <c r="E56" s="494"/>
      <c r="F56" s="494"/>
      <c r="G56" s="496"/>
      <c r="H56" s="498"/>
      <c r="I56" s="494"/>
      <c r="J56" s="494"/>
      <c r="K56" s="500"/>
      <c r="L56" s="15" t="s">
        <v>221</v>
      </c>
      <c r="M56" s="16">
        <v>36.950800000000001</v>
      </c>
      <c r="N56" s="494"/>
      <c r="O56" s="483"/>
      <c r="P56" s="194" t="s">
        <v>123</v>
      </c>
      <c r="Q56" s="194" t="s">
        <v>124</v>
      </c>
      <c r="R56" s="194" t="s">
        <v>120</v>
      </c>
    </row>
    <row r="57" spans="1:18" ht="16.95" customHeight="1" x14ac:dyDescent="0.25">
      <c r="A57" s="502"/>
      <c r="B57" s="478">
        <v>25</v>
      </c>
      <c r="C57" s="480" t="s">
        <v>222</v>
      </c>
      <c r="D57" s="489" t="s">
        <v>148</v>
      </c>
      <c r="E57" s="489" t="s">
        <v>89</v>
      </c>
      <c r="F57" s="489" t="s">
        <v>19</v>
      </c>
      <c r="G57" s="495">
        <v>5.2</v>
      </c>
      <c r="H57" s="497">
        <v>7.86</v>
      </c>
      <c r="I57" s="489" t="s">
        <v>149</v>
      </c>
      <c r="J57" s="489" t="s">
        <v>14</v>
      </c>
      <c r="K57" s="499">
        <v>45125</v>
      </c>
      <c r="L57" s="15" t="s">
        <v>223</v>
      </c>
      <c r="M57" s="16">
        <v>37.0398</v>
      </c>
      <c r="N57" s="489" t="s">
        <v>453</v>
      </c>
      <c r="O57" s="506"/>
      <c r="P57" s="167" t="s">
        <v>2</v>
      </c>
      <c r="Q57" s="167" t="s">
        <v>4</v>
      </c>
      <c r="R57" s="167" t="s">
        <v>4</v>
      </c>
    </row>
    <row r="58" spans="1:18" ht="16.95" customHeight="1" x14ac:dyDescent="0.25">
      <c r="A58" s="502"/>
      <c r="B58" s="479"/>
      <c r="C58" s="481"/>
      <c r="D58" s="494"/>
      <c r="E58" s="494"/>
      <c r="F58" s="494"/>
      <c r="G58" s="496"/>
      <c r="H58" s="498"/>
      <c r="I58" s="494"/>
      <c r="J58" s="494"/>
      <c r="K58" s="500"/>
      <c r="L58" s="15" t="s">
        <v>224</v>
      </c>
      <c r="M58" s="16">
        <v>36.951999999999998</v>
      </c>
      <c r="N58" s="494"/>
      <c r="O58" s="483"/>
      <c r="P58" s="167" t="s">
        <v>2</v>
      </c>
      <c r="Q58" s="167" t="s">
        <v>4</v>
      </c>
      <c r="R58" s="167" t="s">
        <v>4</v>
      </c>
    </row>
    <row r="59" spans="1:18" ht="16.95" customHeight="1" x14ac:dyDescent="0.25">
      <c r="A59" s="502"/>
      <c r="B59" s="478">
        <v>26</v>
      </c>
      <c r="C59" s="480" t="s">
        <v>225</v>
      </c>
      <c r="D59" s="489" t="s">
        <v>148</v>
      </c>
      <c r="E59" s="489" t="s">
        <v>89</v>
      </c>
      <c r="F59" s="489" t="s">
        <v>19</v>
      </c>
      <c r="G59" s="495">
        <v>5.2</v>
      </c>
      <c r="H59" s="497">
        <v>7.86</v>
      </c>
      <c r="I59" s="489" t="s">
        <v>149</v>
      </c>
      <c r="J59" s="489" t="s">
        <v>14</v>
      </c>
      <c r="K59" s="499">
        <v>45125</v>
      </c>
      <c r="L59" s="15" t="s">
        <v>226</v>
      </c>
      <c r="M59" s="16">
        <v>36.6753</v>
      </c>
      <c r="N59" s="489" t="s">
        <v>453</v>
      </c>
      <c r="O59" s="506"/>
      <c r="P59" s="194" t="s">
        <v>123</v>
      </c>
      <c r="Q59" s="194" t="s">
        <v>124</v>
      </c>
      <c r="R59" s="194" t="s">
        <v>120</v>
      </c>
    </row>
    <row r="60" spans="1:18" ht="16.95" customHeight="1" x14ac:dyDescent="0.25">
      <c r="A60" s="502"/>
      <c r="B60" s="492"/>
      <c r="C60" s="493"/>
      <c r="D60" s="491"/>
      <c r="E60" s="491"/>
      <c r="F60" s="491"/>
      <c r="G60" s="503"/>
      <c r="H60" s="504"/>
      <c r="I60" s="491"/>
      <c r="J60" s="491"/>
      <c r="K60" s="505"/>
      <c r="L60" s="11" t="s">
        <v>227</v>
      </c>
      <c r="M60" s="34">
        <v>36.732199999999999</v>
      </c>
      <c r="N60" s="491"/>
      <c r="O60" s="507"/>
      <c r="P60" s="194" t="s">
        <v>123</v>
      </c>
      <c r="Q60" s="194" t="s">
        <v>124</v>
      </c>
      <c r="R60" s="194" t="s">
        <v>120</v>
      </c>
    </row>
    <row r="61" spans="1:18" ht="17.7" customHeight="1" x14ac:dyDescent="0.25">
      <c r="A61" s="502"/>
      <c r="B61" s="492">
        <v>27</v>
      </c>
      <c r="C61" s="493" t="s">
        <v>228</v>
      </c>
      <c r="D61" s="491" t="s">
        <v>187</v>
      </c>
      <c r="E61" s="491" t="s">
        <v>89</v>
      </c>
      <c r="F61" s="491" t="s">
        <v>19</v>
      </c>
      <c r="G61" s="503">
        <v>5.2</v>
      </c>
      <c r="H61" s="504">
        <v>7.86</v>
      </c>
      <c r="I61" s="491" t="s">
        <v>229</v>
      </c>
      <c r="J61" s="491" t="s">
        <v>14</v>
      </c>
      <c r="K61" s="505">
        <v>45125</v>
      </c>
      <c r="L61" s="20" t="s">
        <v>230</v>
      </c>
      <c r="M61" s="35">
        <v>36.634700000000002</v>
      </c>
      <c r="N61" s="491" t="s">
        <v>453</v>
      </c>
      <c r="O61" s="507"/>
      <c r="P61" s="167" t="s">
        <v>2</v>
      </c>
      <c r="Q61" s="167" t="s">
        <v>4</v>
      </c>
      <c r="R61" s="167" t="s">
        <v>4</v>
      </c>
    </row>
    <row r="62" spans="1:18" ht="16.95" customHeight="1" x14ac:dyDescent="0.25">
      <c r="A62" s="502"/>
      <c r="B62" s="479"/>
      <c r="C62" s="481"/>
      <c r="D62" s="494"/>
      <c r="E62" s="494"/>
      <c r="F62" s="494"/>
      <c r="G62" s="496"/>
      <c r="H62" s="498"/>
      <c r="I62" s="494"/>
      <c r="J62" s="494"/>
      <c r="K62" s="500"/>
      <c r="L62" s="15" t="s">
        <v>231</v>
      </c>
      <c r="M62" s="16">
        <v>37.016399999999997</v>
      </c>
      <c r="N62" s="494"/>
      <c r="O62" s="483"/>
      <c r="P62" s="167" t="s">
        <v>2</v>
      </c>
      <c r="Q62" s="167" t="s">
        <v>4</v>
      </c>
      <c r="R62" s="167" t="s">
        <v>4</v>
      </c>
    </row>
    <row r="63" spans="1:18" ht="16.95" customHeight="1" x14ac:dyDescent="0.25">
      <c r="A63" s="502"/>
      <c r="B63" s="478">
        <v>28</v>
      </c>
      <c r="C63" s="480" t="s">
        <v>232</v>
      </c>
      <c r="D63" s="489" t="s">
        <v>187</v>
      </c>
      <c r="E63" s="489" t="s">
        <v>89</v>
      </c>
      <c r="F63" s="489" t="s">
        <v>19</v>
      </c>
      <c r="G63" s="495">
        <v>5.2</v>
      </c>
      <c r="H63" s="497">
        <v>7.86</v>
      </c>
      <c r="I63" s="489" t="s">
        <v>233</v>
      </c>
      <c r="J63" s="489" t="s">
        <v>14</v>
      </c>
      <c r="K63" s="499">
        <v>45125</v>
      </c>
      <c r="L63" s="15" t="s">
        <v>234</v>
      </c>
      <c r="M63" s="16">
        <v>36.689</v>
      </c>
      <c r="N63" s="489" t="s">
        <v>453</v>
      </c>
      <c r="O63" s="506"/>
      <c r="P63" s="167" t="s">
        <v>2</v>
      </c>
      <c r="Q63" s="167" t="s">
        <v>4</v>
      </c>
      <c r="R63" s="167" t="s">
        <v>4</v>
      </c>
    </row>
    <row r="64" spans="1:18" ht="16.95" customHeight="1" x14ac:dyDescent="0.25">
      <c r="A64" s="502"/>
      <c r="B64" s="479"/>
      <c r="C64" s="481"/>
      <c r="D64" s="494"/>
      <c r="E64" s="494"/>
      <c r="F64" s="494"/>
      <c r="G64" s="496"/>
      <c r="H64" s="498"/>
      <c r="I64" s="494"/>
      <c r="J64" s="494"/>
      <c r="K64" s="500"/>
      <c r="L64" s="15" t="s">
        <v>235</v>
      </c>
      <c r="M64" s="16">
        <v>37.073399999999999</v>
      </c>
      <c r="N64" s="494"/>
      <c r="O64" s="483"/>
      <c r="P64" s="167" t="s">
        <v>2</v>
      </c>
      <c r="Q64" s="167" t="s">
        <v>4</v>
      </c>
      <c r="R64" s="167" t="s">
        <v>4</v>
      </c>
    </row>
    <row r="65" spans="1:18" ht="16.95" customHeight="1" x14ac:dyDescent="0.25">
      <c r="A65" s="502"/>
      <c r="B65" s="478">
        <v>29</v>
      </c>
      <c r="C65" s="480" t="s">
        <v>236</v>
      </c>
      <c r="D65" s="489" t="s">
        <v>148</v>
      </c>
      <c r="E65" s="486"/>
      <c r="F65" s="486"/>
      <c r="G65" s="486"/>
      <c r="H65" s="486"/>
      <c r="I65" s="486"/>
      <c r="J65" s="486"/>
      <c r="K65" s="486"/>
      <c r="L65" s="46"/>
      <c r="M65" s="46"/>
      <c r="N65" s="489" t="s">
        <v>460</v>
      </c>
      <c r="O65" s="482" t="s">
        <v>585</v>
      </c>
      <c r="P65" s="194" t="s">
        <v>123</v>
      </c>
      <c r="Q65" s="194" t="s">
        <v>124</v>
      </c>
      <c r="R65" s="194" t="s">
        <v>120</v>
      </c>
    </row>
    <row r="66" spans="1:18" ht="16.95" customHeight="1" x14ac:dyDescent="0.25">
      <c r="A66" s="502"/>
      <c r="B66" s="479"/>
      <c r="C66" s="481"/>
      <c r="D66" s="494"/>
      <c r="E66" s="487"/>
      <c r="F66" s="487"/>
      <c r="G66" s="487"/>
      <c r="H66" s="487"/>
      <c r="I66" s="487"/>
      <c r="J66" s="487"/>
      <c r="K66" s="487"/>
      <c r="L66" s="46"/>
      <c r="M66" s="46"/>
      <c r="N66" s="494"/>
      <c r="O66" s="501"/>
      <c r="P66" s="194" t="s">
        <v>123</v>
      </c>
      <c r="Q66" s="194" t="s">
        <v>124</v>
      </c>
      <c r="R66" s="194" t="s">
        <v>120</v>
      </c>
    </row>
    <row r="67" spans="1:18" ht="16.95" customHeight="1" x14ac:dyDescent="0.25">
      <c r="A67" s="502"/>
      <c r="B67" s="478">
        <v>30</v>
      </c>
      <c r="C67" s="480" t="s">
        <v>237</v>
      </c>
      <c r="D67" s="489" t="s">
        <v>187</v>
      </c>
      <c r="E67" s="489" t="s">
        <v>89</v>
      </c>
      <c r="F67" s="489" t="s">
        <v>19</v>
      </c>
      <c r="G67" s="495">
        <v>5.2</v>
      </c>
      <c r="H67" s="497">
        <v>7.86</v>
      </c>
      <c r="I67" s="489" t="s">
        <v>238</v>
      </c>
      <c r="J67" s="489" t="s">
        <v>14</v>
      </c>
      <c r="K67" s="499">
        <v>45126</v>
      </c>
      <c r="L67" s="15" t="s">
        <v>239</v>
      </c>
      <c r="M67" s="16">
        <v>36.916400000000003</v>
      </c>
      <c r="N67" s="489" t="s">
        <v>453</v>
      </c>
      <c r="O67" s="506"/>
      <c r="P67" s="167" t="s">
        <v>2</v>
      </c>
      <c r="Q67" s="167" t="s">
        <v>4</v>
      </c>
      <c r="R67" s="167" t="s">
        <v>4</v>
      </c>
    </row>
    <row r="68" spans="1:18" ht="16.95" customHeight="1" x14ac:dyDescent="0.25">
      <c r="A68" s="502"/>
      <c r="B68" s="479"/>
      <c r="C68" s="481"/>
      <c r="D68" s="494"/>
      <c r="E68" s="494"/>
      <c r="F68" s="494"/>
      <c r="G68" s="496"/>
      <c r="H68" s="498"/>
      <c r="I68" s="494"/>
      <c r="J68" s="494"/>
      <c r="K68" s="500"/>
      <c r="L68" s="15" t="s">
        <v>240</v>
      </c>
      <c r="M68" s="16">
        <v>36.785299999999999</v>
      </c>
      <c r="N68" s="494"/>
      <c r="O68" s="483"/>
      <c r="P68" s="167" t="s">
        <v>2</v>
      </c>
      <c r="Q68" s="167" t="s">
        <v>4</v>
      </c>
      <c r="R68" s="167" t="s">
        <v>4</v>
      </c>
    </row>
    <row r="69" spans="1:18" ht="16.95" customHeight="1" x14ac:dyDescent="0.25">
      <c r="A69" s="502"/>
      <c r="B69" s="478">
        <v>31</v>
      </c>
      <c r="C69" s="480" t="s">
        <v>241</v>
      </c>
      <c r="D69" s="489" t="s">
        <v>148</v>
      </c>
      <c r="E69" s="489" t="s">
        <v>89</v>
      </c>
      <c r="F69" s="489" t="s">
        <v>19</v>
      </c>
      <c r="G69" s="495">
        <v>5.2</v>
      </c>
      <c r="H69" s="497">
        <v>7.86</v>
      </c>
      <c r="I69" s="489" t="s">
        <v>149</v>
      </c>
      <c r="J69" s="489" t="s">
        <v>14</v>
      </c>
      <c r="K69" s="499">
        <v>45126</v>
      </c>
      <c r="L69" s="15" t="s">
        <v>242</v>
      </c>
      <c r="M69" s="16">
        <v>36.9</v>
      </c>
      <c r="N69" s="489" t="s">
        <v>453</v>
      </c>
      <c r="O69" s="506"/>
      <c r="P69" s="167" t="s">
        <v>2</v>
      </c>
      <c r="Q69" s="167" t="s">
        <v>4</v>
      </c>
      <c r="R69" s="167" t="s">
        <v>4</v>
      </c>
    </row>
    <row r="70" spans="1:18" ht="16.95" customHeight="1" x14ac:dyDescent="0.25">
      <c r="A70" s="502"/>
      <c r="B70" s="479"/>
      <c r="C70" s="481"/>
      <c r="D70" s="494"/>
      <c r="E70" s="494"/>
      <c r="F70" s="494"/>
      <c r="G70" s="496"/>
      <c r="H70" s="498"/>
      <c r="I70" s="494"/>
      <c r="J70" s="494"/>
      <c r="K70" s="500"/>
      <c r="L70" s="15" t="s">
        <v>243</v>
      </c>
      <c r="M70" s="16">
        <v>36.731299999999997</v>
      </c>
      <c r="N70" s="494"/>
      <c r="O70" s="483"/>
      <c r="P70" s="167" t="s">
        <v>2</v>
      </c>
      <c r="Q70" s="167" t="s">
        <v>4</v>
      </c>
      <c r="R70" s="167" t="s">
        <v>4</v>
      </c>
    </row>
    <row r="71" spans="1:18" ht="18.3" customHeight="1" x14ac:dyDescent="0.25">
      <c r="A71" s="502"/>
      <c r="B71" s="478">
        <v>32</v>
      </c>
      <c r="C71" s="480" t="s">
        <v>244</v>
      </c>
      <c r="D71" s="489" t="s">
        <v>187</v>
      </c>
      <c r="E71" s="489" t="s">
        <v>89</v>
      </c>
      <c r="F71" s="489" t="s">
        <v>19</v>
      </c>
      <c r="G71" s="495">
        <v>5.2</v>
      </c>
      <c r="H71" s="497">
        <v>7.86</v>
      </c>
      <c r="I71" s="489" t="s">
        <v>245</v>
      </c>
      <c r="J71" s="489" t="s">
        <v>14</v>
      </c>
      <c r="K71" s="499">
        <v>45126</v>
      </c>
      <c r="L71" s="15" t="s">
        <v>246</v>
      </c>
      <c r="M71" s="16">
        <v>36.935200000000002</v>
      </c>
      <c r="N71" s="489" t="s">
        <v>453</v>
      </c>
      <c r="O71" s="506"/>
      <c r="P71" s="167" t="s">
        <v>2</v>
      </c>
      <c r="Q71" s="167" t="s">
        <v>4</v>
      </c>
      <c r="R71" s="167" t="s">
        <v>4</v>
      </c>
    </row>
    <row r="72" spans="1:18" ht="18.3" customHeight="1" x14ac:dyDescent="0.25">
      <c r="A72" s="502"/>
      <c r="B72" s="479"/>
      <c r="C72" s="481"/>
      <c r="D72" s="494"/>
      <c r="E72" s="494"/>
      <c r="F72" s="494"/>
      <c r="G72" s="496"/>
      <c r="H72" s="498"/>
      <c r="I72" s="494"/>
      <c r="J72" s="494"/>
      <c r="K72" s="500"/>
      <c r="L72" s="15" t="s">
        <v>247</v>
      </c>
      <c r="M72" s="16">
        <v>36.747199999999999</v>
      </c>
      <c r="N72" s="494"/>
      <c r="O72" s="483"/>
      <c r="P72" s="167" t="s">
        <v>2</v>
      </c>
      <c r="Q72" s="167" t="s">
        <v>4</v>
      </c>
      <c r="R72" s="167" t="s">
        <v>4</v>
      </c>
    </row>
    <row r="73" spans="1:18" ht="18.3" customHeight="1" x14ac:dyDescent="0.25">
      <c r="A73" s="502"/>
      <c r="B73" s="478">
        <v>33</v>
      </c>
      <c r="C73" s="480" t="s">
        <v>248</v>
      </c>
      <c r="D73" s="489" t="s">
        <v>187</v>
      </c>
      <c r="E73" s="489" t="s">
        <v>89</v>
      </c>
      <c r="F73" s="489" t="s">
        <v>19</v>
      </c>
      <c r="G73" s="495">
        <v>5.2</v>
      </c>
      <c r="H73" s="497">
        <v>7.86</v>
      </c>
      <c r="I73" s="489" t="s">
        <v>188</v>
      </c>
      <c r="J73" s="489" t="s">
        <v>14</v>
      </c>
      <c r="K73" s="499">
        <v>45126</v>
      </c>
      <c r="L73" s="15" t="s">
        <v>249</v>
      </c>
      <c r="M73" s="16">
        <v>36.826700000000002</v>
      </c>
      <c r="N73" s="489" t="s">
        <v>453</v>
      </c>
      <c r="O73" s="506"/>
      <c r="P73" s="167" t="s">
        <v>2</v>
      </c>
      <c r="Q73" s="167" t="s">
        <v>4</v>
      </c>
      <c r="R73" s="167" t="s">
        <v>4</v>
      </c>
    </row>
    <row r="74" spans="1:18" ht="18.3" customHeight="1" x14ac:dyDescent="0.25">
      <c r="A74" s="502"/>
      <c r="B74" s="479"/>
      <c r="C74" s="481"/>
      <c r="D74" s="494"/>
      <c r="E74" s="494"/>
      <c r="F74" s="494"/>
      <c r="G74" s="496"/>
      <c r="H74" s="498"/>
      <c r="I74" s="494"/>
      <c r="J74" s="494"/>
      <c r="K74" s="500"/>
      <c r="L74" s="15" t="s">
        <v>250</v>
      </c>
      <c r="M74" s="16">
        <v>36.815899999999999</v>
      </c>
      <c r="N74" s="494"/>
      <c r="O74" s="483"/>
      <c r="P74" s="167" t="s">
        <v>2</v>
      </c>
      <c r="Q74" s="167" t="s">
        <v>4</v>
      </c>
      <c r="R74" s="167" t="s">
        <v>4</v>
      </c>
    </row>
    <row r="75" spans="1:18" ht="16.95" customHeight="1" x14ac:dyDescent="0.25">
      <c r="A75" s="502"/>
      <c r="B75" s="475" t="s">
        <v>251</v>
      </c>
      <c r="C75" s="476"/>
      <c r="D75" s="476"/>
      <c r="E75" s="476"/>
      <c r="F75" s="476"/>
      <c r="G75" s="476"/>
      <c r="H75" s="476"/>
      <c r="I75" s="476"/>
      <c r="J75" s="476"/>
      <c r="K75" s="476"/>
      <c r="L75" s="476"/>
      <c r="M75" s="476"/>
      <c r="N75" s="476"/>
      <c r="O75" s="476"/>
      <c r="P75" s="521"/>
      <c r="Q75" s="521"/>
      <c r="R75" s="176"/>
    </row>
    <row r="76" spans="1:18" ht="16.95" customHeight="1" x14ac:dyDescent="0.25">
      <c r="A76" s="502"/>
      <c r="B76" s="478">
        <v>34</v>
      </c>
      <c r="C76" s="480" t="s">
        <v>252</v>
      </c>
      <c r="D76" s="486" t="s">
        <v>297</v>
      </c>
      <c r="E76" s="486"/>
      <c r="F76" s="486"/>
      <c r="G76" s="486"/>
      <c r="H76" s="486"/>
      <c r="I76" s="486"/>
      <c r="J76" s="486"/>
      <c r="K76" s="486"/>
      <c r="L76" s="46"/>
      <c r="M76" s="46"/>
      <c r="N76" s="486" t="s">
        <v>587</v>
      </c>
      <c r="O76" s="506"/>
      <c r="P76" s="194" t="s">
        <v>123</v>
      </c>
      <c r="Q76" s="194" t="s">
        <v>124</v>
      </c>
      <c r="R76" s="194" t="s">
        <v>120</v>
      </c>
    </row>
    <row r="77" spans="1:18" ht="16.95" customHeight="1" x14ac:dyDescent="0.25">
      <c r="A77" s="502"/>
      <c r="B77" s="479"/>
      <c r="C77" s="481"/>
      <c r="D77" s="487"/>
      <c r="E77" s="487"/>
      <c r="F77" s="487"/>
      <c r="G77" s="487"/>
      <c r="H77" s="487"/>
      <c r="I77" s="487"/>
      <c r="J77" s="487"/>
      <c r="K77" s="487"/>
      <c r="L77" s="46"/>
      <c r="M77" s="46"/>
      <c r="N77" s="487"/>
      <c r="O77" s="483"/>
      <c r="P77" s="194" t="s">
        <v>123</v>
      </c>
      <c r="Q77" s="194" t="s">
        <v>124</v>
      </c>
      <c r="R77" s="194" t="s">
        <v>120</v>
      </c>
    </row>
    <row r="78" spans="1:18" ht="16.95" customHeight="1" x14ac:dyDescent="0.25">
      <c r="A78" s="502"/>
      <c r="B78" s="478">
        <v>35</v>
      </c>
      <c r="C78" s="480" t="s">
        <v>253</v>
      </c>
      <c r="D78" s="489" t="s">
        <v>254</v>
      </c>
      <c r="E78" s="489" t="s">
        <v>89</v>
      </c>
      <c r="F78" s="489" t="s">
        <v>19</v>
      </c>
      <c r="G78" s="495">
        <v>5.2</v>
      </c>
      <c r="H78" s="497">
        <v>7.86</v>
      </c>
      <c r="I78" s="489" t="s">
        <v>255</v>
      </c>
      <c r="J78" s="489" t="s">
        <v>14</v>
      </c>
      <c r="K78" s="499">
        <v>45128</v>
      </c>
      <c r="L78" s="15" t="s">
        <v>256</v>
      </c>
      <c r="M78" s="16">
        <v>37.034100000000002</v>
      </c>
      <c r="N78" s="489" t="s">
        <v>456</v>
      </c>
      <c r="O78" s="506"/>
      <c r="P78" s="167" t="s">
        <v>2</v>
      </c>
      <c r="Q78" s="167" t="s">
        <v>4</v>
      </c>
      <c r="R78" s="167" t="s">
        <v>4</v>
      </c>
    </row>
    <row r="79" spans="1:18" ht="17.25" customHeight="1" x14ac:dyDescent="0.25">
      <c r="A79" s="502"/>
      <c r="B79" s="479"/>
      <c r="C79" s="481"/>
      <c r="D79" s="494"/>
      <c r="E79" s="494"/>
      <c r="F79" s="494"/>
      <c r="G79" s="496"/>
      <c r="H79" s="498"/>
      <c r="I79" s="494"/>
      <c r="J79" s="494"/>
      <c r="K79" s="500"/>
      <c r="L79" s="15" t="s">
        <v>257</v>
      </c>
      <c r="M79" s="16">
        <v>36.971200000000003</v>
      </c>
      <c r="N79" s="494"/>
      <c r="O79" s="483"/>
      <c r="P79" s="167" t="s">
        <v>2</v>
      </c>
      <c r="Q79" s="167" t="s">
        <v>4</v>
      </c>
      <c r="R79" s="167" t="s">
        <v>4</v>
      </c>
    </row>
    <row r="80" spans="1:18" ht="16.95" customHeight="1" x14ac:dyDescent="0.25">
      <c r="A80" s="502"/>
      <c r="B80" s="475" t="s">
        <v>258</v>
      </c>
      <c r="C80" s="476"/>
      <c r="D80" s="476"/>
      <c r="E80" s="476"/>
      <c r="F80" s="476"/>
      <c r="G80" s="476"/>
      <c r="H80" s="476"/>
      <c r="I80" s="476"/>
      <c r="J80" s="476"/>
      <c r="K80" s="476"/>
      <c r="L80" s="476"/>
      <c r="M80" s="476"/>
      <c r="N80" s="476"/>
      <c r="O80" s="476"/>
      <c r="P80" s="521"/>
      <c r="Q80" s="521"/>
      <c r="R80" s="176"/>
    </row>
    <row r="81" spans="1:18" ht="16.95" customHeight="1" x14ac:dyDescent="0.25">
      <c r="A81" s="502"/>
      <c r="B81" s="478">
        <v>36</v>
      </c>
      <c r="C81" s="480" t="s">
        <v>259</v>
      </c>
      <c r="D81" s="486" t="s">
        <v>293</v>
      </c>
      <c r="E81" s="489" t="s">
        <v>89</v>
      </c>
      <c r="F81" s="489" t="s">
        <v>19</v>
      </c>
      <c r="G81" s="495">
        <v>5.2</v>
      </c>
      <c r="H81" s="497">
        <v>7.86</v>
      </c>
      <c r="I81" s="486" t="s">
        <v>298</v>
      </c>
      <c r="J81" s="489" t="s">
        <v>14</v>
      </c>
      <c r="K81" s="499">
        <v>45127</v>
      </c>
      <c r="L81" s="15" t="s">
        <v>260</v>
      </c>
      <c r="M81" s="16">
        <v>36.798000000000002</v>
      </c>
      <c r="N81" s="486" t="s">
        <v>588</v>
      </c>
      <c r="O81" s="506"/>
      <c r="P81" s="167" t="s">
        <v>2</v>
      </c>
      <c r="Q81" s="167" t="s">
        <v>4</v>
      </c>
      <c r="R81" s="167" t="s">
        <v>4</v>
      </c>
    </row>
    <row r="82" spans="1:18" ht="16.95" customHeight="1" x14ac:dyDescent="0.25">
      <c r="A82" s="502"/>
      <c r="B82" s="492"/>
      <c r="C82" s="493"/>
      <c r="D82" s="517"/>
      <c r="E82" s="491"/>
      <c r="F82" s="491"/>
      <c r="G82" s="503"/>
      <c r="H82" s="504"/>
      <c r="I82" s="517"/>
      <c r="J82" s="491"/>
      <c r="K82" s="505"/>
      <c r="L82" s="11" t="s">
        <v>261</v>
      </c>
      <c r="M82" s="34">
        <v>36.907400000000003</v>
      </c>
      <c r="N82" s="517"/>
      <c r="O82" s="507"/>
      <c r="P82" s="167" t="s">
        <v>2</v>
      </c>
      <c r="Q82" s="167" t="s">
        <v>4</v>
      </c>
      <c r="R82" s="167" t="s">
        <v>4</v>
      </c>
    </row>
    <row r="83" spans="1:18" ht="17.7" customHeight="1" x14ac:dyDescent="0.25">
      <c r="A83" s="502"/>
      <c r="B83" s="492">
        <v>37</v>
      </c>
      <c r="C83" s="493" t="s">
        <v>262</v>
      </c>
      <c r="D83" s="491" t="s">
        <v>148</v>
      </c>
      <c r="E83" s="491" t="s">
        <v>89</v>
      </c>
      <c r="F83" s="491" t="s">
        <v>19</v>
      </c>
      <c r="G83" s="503">
        <v>5.2</v>
      </c>
      <c r="H83" s="504">
        <v>7.86</v>
      </c>
      <c r="I83" s="517" t="s">
        <v>299</v>
      </c>
      <c r="J83" s="491" t="s">
        <v>14</v>
      </c>
      <c r="K83" s="505">
        <v>45127</v>
      </c>
      <c r="L83" s="20" t="s">
        <v>263</v>
      </c>
      <c r="M83" s="35">
        <v>36.893799999999999</v>
      </c>
      <c r="N83" s="491" t="s">
        <v>461</v>
      </c>
      <c r="O83" s="507"/>
      <c r="P83" s="167" t="s">
        <v>2</v>
      </c>
      <c r="Q83" s="167" t="s">
        <v>4</v>
      </c>
      <c r="R83" s="167" t="s">
        <v>4</v>
      </c>
    </row>
    <row r="84" spans="1:18" ht="16.95" customHeight="1" x14ac:dyDescent="0.25">
      <c r="A84" s="502"/>
      <c r="B84" s="479"/>
      <c r="C84" s="481"/>
      <c r="D84" s="494"/>
      <c r="E84" s="494"/>
      <c r="F84" s="494"/>
      <c r="G84" s="496"/>
      <c r="H84" s="498"/>
      <c r="I84" s="487"/>
      <c r="J84" s="494"/>
      <c r="K84" s="500"/>
      <c r="L84" s="15" t="s">
        <v>264</v>
      </c>
      <c r="M84" s="16">
        <v>36.893900000000002</v>
      </c>
      <c r="N84" s="494"/>
      <c r="O84" s="483"/>
      <c r="P84" s="167" t="s">
        <v>2</v>
      </c>
      <c r="Q84" s="167" t="s">
        <v>4</v>
      </c>
      <c r="R84" s="167" t="s">
        <v>4</v>
      </c>
    </row>
    <row r="85" spans="1:18" ht="16.95" customHeight="1" x14ac:dyDescent="0.25">
      <c r="A85" s="502"/>
      <c r="B85" s="478">
        <v>38</v>
      </c>
      <c r="C85" s="480" t="s">
        <v>265</v>
      </c>
      <c r="D85" s="489" t="s">
        <v>148</v>
      </c>
      <c r="E85" s="489" t="s">
        <v>89</v>
      </c>
      <c r="F85" s="489" t="s">
        <v>19</v>
      </c>
      <c r="G85" s="495">
        <v>5.2</v>
      </c>
      <c r="H85" s="497">
        <v>7.86</v>
      </c>
      <c r="I85" s="486" t="s">
        <v>300</v>
      </c>
      <c r="J85" s="489" t="s">
        <v>14</v>
      </c>
      <c r="K85" s="499">
        <v>45127</v>
      </c>
      <c r="L85" s="15" t="s">
        <v>266</v>
      </c>
      <c r="M85" s="16">
        <v>36.799300000000002</v>
      </c>
      <c r="N85" s="489" t="s">
        <v>456</v>
      </c>
      <c r="O85" s="506"/>
      <c r="P85" s="167" t="s">
        <v>2</v>
      </c>
      <c r="Q85" s="167" t="s">
        <v>4</v>
      </c>
      <c r="R85" s="167" t="s">
        <v>4</v>
      </c>
    </row>
    <row r="86" spans="1:18" ht="17.25" customHeight="1" x14ac:dyDescent="0.25">
      <c r="A86" s="502"/>
      <c r="B86" s="479"/>
      <c r="C86" s="481"/>
      <c r="D86" s="494"/>
      <c r="E86" s="494"/>
      <c r="F86" s="494"/>
      <c r="G86" s="496"/>
      <c r="H86" s="498"/>
      <c r="I86" s="487"/>
      <c r="J86" s="494"/>
      <c r="K86" s="500"/>
      <c r="L86" s="15" t="s">
        <v>267</v>
      </c>
      <c r="M86" s="16">
        <v>37.027999999999999</v>
      </c>
      <c r="N86" s="494"/>
      <c r="O86" s="483"/>
      <c r="P86" s="167" t="s">
        <v>2</v>
      </c>
      <c r="Q86" s="167" t="s">
        <v>4</v>
      </c>
      <c r="R86" s="167" t="s">
        <v>4</v>
      </c>
    </row>
    <row r="87" spans="1:18" ht="16.95" customHeight="1" x14ac:dyDescent="0.25">
      <c r="A87" s="502"/>
      <c r="B87" s="475" t="s">
        <v>268</v>
      </c>
      <c r="C87" s="476"/>
      <c r="D87" s="476"/>
      <c r="E87" s="476"/>
      <c r="F87" s="476"/>
      <c r="G87" s="476"/>
      <c r="H87" s="476"/>
      <c r="I87" s="476"/>
      <c r="J87" s="476"/>
      <c r="K87" s="476"/>
      <c r="L87" s="476"/>
      <c r="M87" s="476"/>
      <c r="N87" s="476"/>
      <c r="O87" s="476"/>
      <c r="P87" s="521"/>
      <c r="Q87" s="521"/>
      <c r="R87" s="176"/>
    </row>
    <row r="88" spans="1:18" ht="18" customHeight="1" x14ac:dyDescent="0.25">
      <c r="A88" s="502"/>
      <c r="B88" s="478">
        <v>39</v>
      </c>
      <c r="C88" s="480" t="s">
        <v>269</v>
      </c>
      <c r="D88" s="486" t="s">
        <v>293</v>
      </c>
      <c r="E88" s="489" t="s">
        <v>89</v>
      </c>
      <c r="F88" s="489" t="s">
        <v>19</v>
      </c>
      <c r="G88" s="495">
        <v>5.2</v>
      </c>
      <c r="H88" s="497">
        <v>7.86</v>
      </c>
      <c r="I88" s="489" t="s">
        <v>270</v>
      </c>
      <c r="J88" s="489" t="s">
        <v>271</v>
      </c>
      <c r="K88" s="499">
        <v>45132</v>
      </c>
      <c r="L88" s="15" t="s">
        <v>272</v>
      </c>
      <c r="M88" s="16">
        <v>36.7849</v>
      </c>
      <c r="N88" s="486" t="s">
        <v>589</v>
      </c>
      <c r="O88" s="515" t="s">
        <v>451</v>
      </c>
      <c r="P88" s="167" t="s">
        <v>2</v>
      </c>
      <c r="Q88" s="167" t="s">
        <v>4</v>
      </c>
      <c r="R88" s="167" t="s">
        <v>4</v>
      </c>
    </row>
    <row r="89" spans="1:18" ht="18.3" customHeight="1" x14ac:dyDescent="0.25">
      <c r="A89" s="502"/>
      <c r="B89" s="479"/>
      <c r="C89" s="481"/>
      <c r="D89" s="487"/>
      <c r="E89" s="494"/>
      <c r="F89" s="494"/>
      <c r="G89" s="496"/>
      <c r="H89" s="498"/>
      <c r="I89" s="494"/>
      <c r="J89" s="494"/>
      <c r="K89" s="500"/>
      <c r="L89" s="15" t="s">
        <v>273</v>
      </c>
      <c r="M89" s="16">
        <v>36.958399999999997</v>
      </c>
      <c r="N89" s="487"/>
      <c r="O89" s="516"/>
      <c r="P89" s="167" t="s">
        <v>2</v>
      </c>
      <c r="Q89" s="167" t="s">
        <v>4</v>
      </c>
      <c r="R89" s="167" t="s">
        <v>4</v>
      </c>
    </row>
    <row r="90" spans="1:18" ht="16.95" customHeight="1" x14ac:dyDescent="0.25">
      <c r="A90" s="502"/>
      <c r="B90" s="475" t="s">
        <v>274</v>
      </c>
      <c r="C90" s="476"/>
      <c r="D90" s="476"/>
      <c r="E90" s="476"/>
      <c r="F90" s="476"/>
      <c r="G90" s="476"/>
      <c r="H90" s="476"/>
      <c r="I90" s="476"/>
      <c r="J90" s="476"/>
      <c r="K90" s="476"/>
      <c r="L90" s="476"/>
      <c r="M90" s="476"/>
      <c r="N90" s="476"/>
      <c r="O90" s="476"/>
      <c r="P90" s="521"/>
      <c r="Q90" s="521"/>
      <c r="R90" s="176"/>
    </row>
    <row r="91" spans="1:18" ht="18" customHeight="1" x14ac:dyDescent="0.25">
      <c r="A91" s="502"/>
      <c r="B91" s="478">
        <v>40</v>
      </c>
      <c r="C91" s="480" t="s">
        <v>275</v>
      </c>
      <c r="D91" s="486" t="s">
        <v>301</v>
      </c>
      <c r="E91" s="508" t="s">
        <v>125</v>
      </c>
      <c r="F91" s="509"/>
      <c r="G91" s="509"/>
      <c r="H91" s="509"/>
      <c r="I91" s="509"/>
      <c r="J91" s="509"/>
      <c r="K91" s="510"/>
      <c r="L91" s="15" t="s">
        <v>126</v>
      </c>
      <c r="M91" s="41" t="s">
        <v>117</v>
      </c>
      <c r="N91" s="486" t="s">
        <v>590</v>
      </c>
      <c r="O91" s="506" t="s">
        <v>591</v>
      </c>
      <c r="P91" s="167" t="s">
        <v>2</v>
      </c>
      <c r="Q91" s="167" t="s">
        <v>4</v>
      </c>
      <c r="R91" s="398" t="s">
        <v>120</v>
      </c>
    </row>
    <row r="92" spans="1:18" ht="18.3" customHeight="1" x14ac:dyDescent="0.25">
      <c r="A92" s="502"/>
      <c r="B92" s="479"/>
      <c r="C92" s="481"/>
      <c r="D92" s="487"/>
      <c r="E92" s="511"/>
      <c r="F92" s="512"/>
      <c r="G92" s="512"/>
      <c r="H92" s="512"/>
      <c r="I92" s="512"/>
      <c r="J92" s="512"/>
      <c r="K92" s="513"/>
      <c r="L92" s="15" t="s">
        <v>127</v>
      </c>
      <c r="M92" s="41" t="s">
        <v>117</v>
      </c>
      <c r="N92" s="487"/>
      <c r="O92" s="483"/>
      <c r="P92" s="167" t="s">
        <v>2</v>
      </c>
      <c r="Q92" s="167" t="s">
        <v>4</v>
      </c>
      <c r="R92" s="398"/>
    </row>
    <row r="93" spans="1:18" ht="18.3" customHeight="1" x14ac:dyDescent="0.25">
      <c r="A93" s="502"/>
      <c r="B93" s="478">
        <v>41</v>
      </c>
      <c r="C93" s="480" t="s">
        <v>276</v>
      </c>
      <c r="D93" s="489" t="s">
        <v>148</v>
      </c>
      <c r="E93" s="489" t="s">
        <v>89</v>
      </c>
      <c r="F93" s="489" t="s">
        <v>19</v>
      </c>
      <c r="G93" s="495">
        <v>5.2</v>
      </c>
      <c r="H93" s="497">
        <v>7.86</v>
      </c>
      <c r="I93" s="489" t="s">
        <v>233</v>
      </c>
      <c r="J93" s="489" t="s">
        <v>14</v>
      </c>
      <c r="K93" s="499">
        <v>45131</v>
      </c>
      <c r="L93" s="15" t="s">
        <v>277</v>
      </c>
      <c r="M93" s="16">
        <v>37.034199999999998</v>
      </c>
      <c r="N93" s="489" t="s">
        <v>456</v>
      </c>
      <c r="O93" s="506"/>
      <c r="P93" s="167" t="s">
        <v>2</v>
      </c>
      <c r="Q93" s="167" t="s">
        <v>4</v>
      </c>
      <c r="R93" s="167" t="s">
        <v>4</v>
      </c>
    </row>
    <row r="94" spans="1:18" ht="18.3" customHeight="1" x14ac:dyDescent="0.25">
      <c r="A94" s="502"/>
      <c r="B94" s="479"/>
      <c r="C94" s="481"/>
      <c r="D94" s="494"/>
      <c r="E94" s="494"/>
      <c r="F94" s="494"/>
      <c r="G94" s="496"/>
      <c r="H94" s="498"/>
      <c r="I94" s="494"/>
      <c r="J94" s="494"/>
      <c r="K94" s="500"/>
      <c r="L94" s="15" t="s">
        <v>278</v>
      </c>
      <c r="M94" s="16">
        <v>37.021000000000001</v>
      </c>
      <c r="N94" s="494"/>
      <c r="O94" s="483"/>
      <c r="P94" s="167" t="s">
        <v>2</v>
      </c>
      <c r="Q94" s="167" t="s">
        <v>4</v>
      </c>
      <c r="R94" s="167" t="s">
        <v>4</v>
      </c>
    </row>
    <row r="95" spans="1:18" ht="18.3" customHeight="1" x14ac:dyDescent="0.25">
      <c r="A95" s="502"/>
      <c r="B95" s="478">
        <v>42</v>
      </c>
      <c r="C95" s="480" t="s">
        <v>279</v>
      </c>
      <c r="D95" s="489" t="s">
        <v>254</v>
      </c>
      <c r="E95" s="489" t="s">
        <v>89</v>
      </c>
      <c r="F95" s="489" t="s">
        <v>19</v>
      </c>
      <c r="G95" s="495">
        <v>5.2</v>
      </c>
      <c r="H95" s="497">
        <v>7.86</v>
      </c>
      <c r="I95" s="489" t="s">
        <v>209</v>
      </c>
      <c r="J95" s="489" t="s">
        <v>271</v>
      </c>
      <c r="K95" s="499">
        <v>45131</v>
      </c>
      <c r="L95" s="15" t="s">
        <v>280</v>
      </c>
      <c r="M95" s="16">
        <v>36.781599999999997</v>
      </c>
      <c r="N95" s="489" t="s">
        <v>456</v>
      </c>
      <c r="O95" s="482" t="s">
        <v>592</v>
      </c>
      <c r="P95" s="167" t="s">
        <v>2</v>
      </c>
      <c r="Q95" s="167" t="s">
        <v>4</v>
      </c>
      <c r="R95" s="167" t="s">
        <v>4</v>
      </c>
    </row>
    <row r="96" spans="1:18" ht="18.3" customHeight="1" x14ac:dyDescent="0.25">
      <c r="A96" s="502"/>
      <c r="B96" s="479"/>
      <c r="C96" s="481"/>
      <c r="D96" s="494"/>
      <c r="E96" s="494"/>
      <c r="F96" s="494"/>
      <c r="G96" s="496"/>
      <c r="H96" s="498"/>
      <c r="I96" s="494"/>
      <c r="J96" s="494"/>
      <c r="K96" s="500"/>
      <c r="L96" s="15" t="s">
        <v>281</v>
      </c>
      <c r="M96" s="16">
        <v>36.943100000000001</v>
      </c>
      <c r="N96" s="494"/>
      <c r="O96" s="501"/>
      <c r="P96" s="167" t="s">
        <v>2</v>
      </c>
      <c r="Q96" s="167" t="s">
        <v>4</v>
      </c>
      <c r="R96" s="167" t="s">
        <v>4</v>
      </c>
    </row>
    <row r="97" spans="1:18" ht="18.3" customHeight="1" x14ac:dyDescent="0.25">
      <c r="A97" s="502"/>
      <c r="B97" s="478">
        <v>43</v>
      </c>
      <c r="C97" s="480" t="s">
        <v>282</v>
      </c>
      <c r="D97" s="489" t="s">
        <v>283</v>
      </c>
      <c r="E97" s="489" t="s">
        <v>89</v>
      </c>
      <c r="F97" s="489" t="s">
        <v>19</v>
      </c>
      <c r="G97" s="495">
        <v>5.2</v>
      </c>
      <c r="H97" s="497">
        <v>7.86</v>
      </c>
      <c r="I97" s="489" t="s">
        <v>229</v>
      </c>
      <c r="J97" s="489" t="s">
        <v>14</v>
      </c>
      <c r="K97" s="499">
        <v>45132</v>
      </c>
      <c r="L97" s="15" t="s">
        <v>284</v>
      </c>
      <c r="M97" s="16">
        <v>36.893900000000002</v>
      </c>
      <c r="N97" s="489" t="s">
        <v>456</v>
      </c>
      <c r="O97" s="506"/>
      <c r="P97" s="167" t="s">
        <v>2</v>
      </c>
      <c r="Q97" s="167" t="s">
        <v>4</v>
      </c>
      <c r="R97" s="167" t="s">
        <v>4</v>
      </c>
    </row>
    <row r="98" spans="1:18" ht="18.3" customHeight="1" x14ac:dyDescent="0.25">
      <c r="A98" s="502"/>
      <c r="B98" s="479"/>
      <c r="C98" s="481"/>
      <c r="D98" s="494"/>
      <c r="E98" s="494"/>
      <c r="F98" s="494"/>
      <c r="G98" s="496"/>
      <c r="H98" s="498"/>
      <c r="I98" s="494"/>
      <c r="J98" s="494"/>
      <c r="K98" s="500"/>
      <c r="L98" s="15" t="s">
        <v>285</v>
      </c>
      <c r="M98" s="16">
        <v>36.893900000000002</v>
      </c>
      <c r="N98" s="494"/>
      <c r="O98" s="483"/>
      <c r="P98" s="167" t="s">
        <v>2</v>
      </c>
      <c r="Q98" s="167" t="s">
        <v>4</v>
      </c>
      <c r="R98" s="167" t="s">
        <v>4</v>
      </c>
    </row>
    <row r="99" spans="1:18" ht="18.3" customHeight="1" x14ac:dyDescent="0.25">
      <c r="A99" s="502"/>
      <c r="B99" s="478">
        <v>44</v>
      </c>
      <c r="C99" s="480" t="s">
        <v>286</v>
      </c>
      <c r="D99" s="489" t="s">
        <v>283</v>
      </c>
      <c r="E99" s="489" t="s">
        <v>89</v>
      </c>
      <c r="F99" s="489" t="s">
        <v>19</v>
      </c>
      <c r="G99" s="495">
        <v>5.2</v>
      </c>
      <c r="H99" s="497">
        <v>7.86</v>
      </c>
      <c r="I99" s="489" t="s">
        <v>287</v>
      </c>
      <c r="J99" s="489" t="s">
        <v>271</v>
      </c>
      <c r="K99" s="499">
        <v>45132</v>
      </c>
      <c r="L99" s="15" t="s">
        <v>288</v>
      </c>
      <c r="M99" s="16">
        <v>36.690300000000001</v>
      </c>
      <c r="N99" s="489" t="s">
        <v>456</v>
      </c>
      <c r="O99" s="506"/>
      <c r="P99" s="167" t="s">
        <v>2</v>
      </c>
      <c r="Q99" s="167" t="s">
        <v>4</v>
      </c>
      <c r="R99" s="167" t="s">
        <v>4</v>
      </c>
    </row>
    <row r="100" spans="1:18" ht="18.3" customHeight="1" thickBot="1" x14ac:dyDescent="0.3">
      <c r="A100" s="502"/>
      <c r="B100" s="492"/>
      <c r="C100" s="493"/>
      <c r="D100" s="491"/>
      <c r="E100" s="491"/>
      <c r="F100" s="491"/>
      <c r="G100" s="503"/>
      <c r="H100" s="504"/>
      <c r="I100" s="491"/>
      <c r="J100" s="491"/>
      <c r="K100" s="505"/>
      <c r="L100" s="11" t="s">
        <v>289</v>
      </c>
      <c r="M100" s="34">
        <v>36.973599999999998</v>
      </c>
      <c r="N100" s="491"/>
      <c r="O100" s="507"/>
      <c r="P100" s="180" t="s">
        <v>2</v>
      </c>
      <c r="Q100" s="180" t="s">
        <v>4</v>
      </c>
      <c r="R100" s="167" t="s">
        <v>4</v>
      </c>
    </row>
    <row r="101" spans="1:18" x14ac:dyDescent="0.25">
      <c r="A101" s="238"/>
      <c r="B101" s="422" t="s">
        <v>5</v>
      </c>
      <c r="C101" s="423"/>
      <c r="D101" s="423"/>
      <c r="E101" s="423"/>
      <c r="F101" s="423"/>
      <c r="G101" s="423"/>
      <c r="H101" s="423"/>
      <c r="I101" s="423"/>
      <c r="J101" s="423"/>
      <c r="K101" s="423"/>
      <c r="L101" s="423"/>
      <c r="M101" s="423"/>
      <c r="N101" s="423"/>
      <c r="O101" s="424"/>
      <c r="P101" s="422" t="s">
        <v>437</v>
      </c>
      <c r="Q101" s="423"/>
      <c r="R101" s="425"/>
    </row>
    <row r="102" spans="1:18" ht="13.8" thickBot="1" x14ac:dyDescent="0.3">
      <c r="A102" s="187"/>
      <c r="B102" s="426" t="s">
        <v>7</v>
      </c>
      <c r="C102" s="427"/>
      <c r="D102" s="427"/>
      <c r="E102" s="427"/>
      <c r="F102" s="427"/>
      <c r="G102" s="427"/>
      <c r="H102" s="427"/>
      <c r="I102" s="427"/>
      <c r="J102" s="427"/>
      <c r="K102" s="427"/>
      <c r="L102" s="427"/>
      <c r="M102" s="427"/>
      <c r="N102" s="427"/>
      <c r="O102" s="428"/>
      <c r="P102" s="426" t="s">
        <v>437</v>
      </c>
      <c r="Q102" s="427"/>
      <c r="R102" s="429"/>
    </row>
    <row r="103" spans="1:18" ht="13.8" thickBot="1" x14ac:dyDescent="0.3">
      <c r="A103" s="474" t="s">
        <v>435</v>
      </c>
      <c r="B103" s="416" t="s">
        <v>86</v>
      </c>
      <c r="C103" s="417"/>
      <c r="D103" s="417"/>
      <c r="E103" s="417"/>
      <c r="F103" s="417"/>
      <c r="G103" s="417"/>
      <c r="H103" s="417"/>
      <c r="I103" s="417"/>
      <c r="J103" s="417"/>
      <c r="K103" s="417"/>
      <c r="L103" s="417"/>
      <c r="M103" s="417"/>
      <c r="N103" s="417"/>
      <c r="O103" s="417"/>
      <c r="P103" s="417"/>
      <c r="Q103" s="417"/>
      <c r="R103" s="418"/>
    </row>
    <row r="104" spans="1:18" x14ac:dyDescent="0.25">
      <c r="A104" s="474"/>
      <c r="B104" s="475" t="s">
        <v>10</v>
      </c>
      <c r="C104" s="476"/>
      <c r="D104" s="476"/>
      <c r="E104" s="477"/>
      <c r="F104" s="476"/>
      <c r="G104" s="476"/>
      <c r="H104" s="476"/>
      <c r="I104" s="476"/>
      <c r="J104" s="476"/>
      <c r="K104" s="476"/>
      <c r="L104" s="476"/>
      <c r="M104" s="476"/>
      <c r="N104" s="476"/>
      <c r="O104" s="476"/>
      <c r="P104" s="201"/>
      <c r="Q104" s="201"/>
      <c r="R104" s="201"/>
    </row>
    <row r="105" spans="1:18" s="1" customFormat="1" x14ac:dyDescent="0.25">
      <c r="A105" s="474"/>
      <c r="B105" s="478">
        <v>1</v>
      </c>
      <c r="C105" s="480" t="s">
        <v>11</v>
      </c>
      <c r="D105" s="482" t="s">
        <v>12</v>
      </c>
      <c r="E105" s="404" t="s">
        <v>89</v>
      </c>
      <c r="F105" s="484" t="s">
        <v>19</v>
      </c>
      <c r="G105" s="486">
        <v>5.2</v>
      </c>
      <c r="H105" s="486">
        <v>7.86</v>
      </c>
      <c r="I105" s="486" t="s">
        <v>13</v>
      </c>
      <c r="J105" s="486" t="s">
        <v>14</v>
      </c>
      <c r="K105" s="488">
        <v>45121</v>
      </c>
      <c r="L105" s="46" t="s">
        <v>15</v>
      </c>
      <c r="M105" s="46">
        <v>36.682499999999997</v>
      </c>
      <c r="N105" s="489" t="s">
        <v>17</v>
      </c>
      <c r="O105" s="489" t="s">
        <v>0</v>
      </c>
      <c r="P105" s="180" t="s">
        <v>2</v>
      </c>
      <c r="Q105" s="180" t="s">
        <v>4</v>
      </c>
      <c r="R105" s="167" t="s">
        <v>4</v>
      </c>
    </row>
    <row r="106" spans="1:18" s="1" customFormat="1" x14ac:dyDescent="0.25">
      <c r="A106" s="474"/>
      <c r="B106" s="479"/>
      <c r="C106" s="481"/>
      <c r="D106" s="483"/>
      <c r="E106" s="404"/>
      <c r="F106" s="485"/>
      <c r="G106" s="487"/>
      <c r="H106" s="487"/>
      <c r="I106" s="487"/>
      <c r="J106" s="487"/>
      <c r="K106" s="487"/>
      <c r="L106" s="46" t="s">
        <v>16</v>
      </c>
      <c r="M106" s="46">
        <v>36.9544</v>
      </c>
      <c r="N106" s="487"/>
      <c r="O106" s="487"/>
      <c r="P106" s="180" t="s">
        <v>2</v>
      </c>
      <c r="Q106" s="180" t="s">
        <v>4</v>
      </c>
      <c r="R106" s="167" t="s">
        <v>4</v>
      </c>
    </row>
    <row r="107" spans="1:18" x14ac:dyDescent="0.25">
      <c r="A107" s="474"/>
      <c r="B107" s="475" t="s">
        <v>18</v>
      </c>
      <c r="C107" s="476"/>
      <c r="D107" s="476"/>
      <c r="E107" s="477"/>
      <c r="F107" s="476"/>
      <c r="G107" s="476"/>
      <c r="H107" s="476"/>
      <c r="I107" s="476"/>
      <c r="J107" s="476"/>
      <c r="K107" s="476"/>
      <c r="L107" s="476"/>
      <c r="M107" s="476"/>
      <c r="N107" s="476"/>
      <c r="O107" s="476"/>
      <c r="P107" s="201"/>
      <c r="Q107" s="201"/>
      <c r="R107" s="201"/>
    </row>
    <row r="108" spans="1:18" x14ac:dyDescent="0.25">
      <c r="A108" s="474"/>
      <c r="B108" s="478">
        <v>2</v>
      </c>
      <c r="C108" s="480" t="s">
        <v>20</v>
      </c>
      <c r="D108" s="482" t="s">
        <v>21</v>
      </c>
      <c r="E108" s="404" t="s">
        <v>89</v>
      </c>
      <c r="F108" s="484" t="s">
        <v>19</v>
      </c>
      <c r="G108" s="486">
        <v>5.2</v>
      </c>
      <c r="H108" s="486">
        <v>7.86</v>
      </c>
      <c r="I108" s="486" t="s">
        <v>22</v>
      </c>
      <c r="J108" s="486" t="s">
        <v>14</v>
      </c>
      <c r="K108" s="488">
        <v>45118</v>
      </c>
      <c r="L108" s="46" t="s">
        <v>24</v>
      </c>
      <c r="M108" s="46">
        <v>36.9636</v>
      </c>
      <c r="N108" s="489" t="s">
        <v>28</v>
      </c>
      <c r="O108" s="489" t="s">
        <v>0</v>
      </c>
      <c r="P108" s="180" t="s">
        <v>2</v>
      </c>
      <c r="Q108" s="180" t="s">
        <v>4</v>
      </c>
      <c r="R108" s="167" t="s">
        <v>4</v>
      </c>
    </row>
    <row r="109" spans="1:18" x14ac:dyDescent="0.25">
      <c r="A109" s="474"/>
      <c r="B109" s="479"/>
      <c r="C109" s="481"/>
      <c r="D109" s="483"/>
      <c r="E109" s="404"/>
      <c r="F109" s="485"/>
      <c r="G109" s="487"/>
      <c r="H109" s="487"/>
      <c r="I109" s="487"/>
      <c r="J109" s="487"/>
      <c r="K109" s="487"/>
      <c r="L109" s="46" t="s">
        <v>25</v>
      </c>
      <c r="M109" s="46">
        <v>36.632300000000001</v>
      </c>
      <c r="N109" s="487"/>
      <c r="O109" s="487"/>
      <c r="P109" s="180" t="s">
        <v>2</v>
      </c>
      <c r="Q109" s="180" t="s">
        <v>4</v>
      </c>
      <c r="R109" s="167" t="s">
        <v>4</v>
      </c>
    </row>
    <row r="110" spans="1:18" x14ac:dyDescent="0.25">
      <c r="A110" s="474"/>
      <c r="B110" s="478">
        <v>3</v>
      </c>
      <c r="C110" s="480" t="s">
        <v>29</v>
      </c>
      <c r="D110" s="482" t="s">
        <v>21</v>
      </c>
      <c r="E110" s="404" t="s">
        <v>89</v>
      </c>
      <c r="F110" s="484" t="s">
        <v>19</v>
      </c>
      <c r="G110" s="486">
        <v>5.2</v>
      </c>
      <c r="H110" s="486">
        <v>7.86</v>
      </c>
      <c r="I110" s="486" t="s">
        <v>23</v>
      </c>
      <c r="J110" s="486" t="s">
        <v>14</v>
      </c>
      <c r="K110" s="488">
        <v>45118</v>
      </c>
      <c r="L110" s="46" t="s">
        <v>26</v>
      </c>
      <c r="M110" s="46">
        <v>36.775100000000002</v>
      </c>
      <c r="N110" s="489" t="s">
        <v>28</v>
      </c>
      <c r="O110" s="489" t="s">
        <v>0</v>
      </c>
      <c r="P110" s="180" t="s">
        <v>2</v>
      </c>
      <c r="Q110" s="180" t="s">
        <v>4</v>
      </c>
      <c r="R110" s="167" t="s">
        <v>4</v>
      </c>
    </row>
    <row r="111" spans="1:18" x14ac:dyDescent="0.25">
      <c r="A111" s="474"/>
      <c r="B111" s="479"/>
      <c r="C111" s="481"/>
      <c r="D111" s="483"/>
      <c r="E111" s="404"/>
      <c r="F111" s="485"/>
      <c r="G111" s="487"/>
      <c r="H111" s="487"/>
      <c r="I111" s="487"/>
      <c r="J111" s="487"/>
      <c r="K111" s="487"/>
      <c r="L111" s="46" t="s">
        <v>27</v>
      </c>
      <c r="M111" s="46">
        <v>36.742800000000003</v>
      </c>
      <c r="N111" s="487"/>
      <c r="O111" s="487"/>
      <c r="P111" s="180" t="s">
        <v>2</v>
      </c>
      <c r="Q111" s="180" t="s">
        <v>4</v>
      </c>
      <c r="R111" s="167" t="s">
        <v>4</v>
      </c>
    </row>
    <row r="112" spans="1:18" x14ac:dyDescent="0.25">
      <c r="A112" s="474"/>
      <c r="B112" s="475" t="s">
        <v>30</v>
      </c>
      <c r="C112" s="476"/>
      <c r="D112" s="476"/>
      <c r="E112" s="477"/>
      <c r="F112" s="476"/>
      <c r="G112" s="476"/>
      <c r="H112" s="476"/>
      <c r="I112" s="476"/>
      <c r="J112" s="476"/>
      <c r="K112" s="476"/>
      <c r="L112" s="476"/>
      <c r="M112" s="476"/>
      <c r="N112" s="476"/>
      <c r="O112" s="476"/>
      <c r="P112" s="201"/>
      <c r="Q112" s="201"/>
      <c r="R112" s="201"/>
    </row>
    <row r="113" spans="1:18" x14ac:dyDescent="0.25">
      <c r="A113" s="474"/>
      <c r="B113" s="478">
        <v>4</v>
      </c>
      <c r="C113" s="480" t="s">
        <v>31</v>
      </c>
      <c r="D113" s="482" t="s">
        <v>35</v>
      </c>
      <c r="E113" s="404" t="s">
        <v>36</v>
      </c>
      <c r="F113" s="484" t="s">
        <v>19</v>
      </c>
      <c r="G113" s="486">
        <v>2.5</v>
      </c>
      <c r="H113" s="486">
        <v>7.86</v>
      </c>
      <c r="I113" s="486" t="s">
        <v>37</v>
      </c>
      <c r="J113" s="486" t="s">
        <v>14</v>
      </c>
      <c r="K113" s="488">
        <v>45117</v>
      </c>
      <c r="L113" s="486" t="s">
        <v>38</v>
      </c>
      <c r="M113" s="486">
        <v>17.452100000000002</v>
      </c>
      <c r="N113" s="489" t="s">
        <v>42</v>
      </c>
      <c r="O113" s="489" t="s">
        <v>0</v>
      </c>
      <c r="P113" s="180" t="s">
        <v>2</v>
      </c>
      <c r="Q113" s="180" t="s">
        <v>4</v>
      </c>
      <c r="R113" s="167" t="s">
        <v>4</v>
      </c>
    </row>
    <row r="114" spans="1:18" x14ac:dyDescent="0.25">
      <c r="A114" s="474"/>
      <c r="B114" s="479"/>
      <c r="C114" s="481"/>
      <c r="D114" s="483"/>
      <c r="E114" s="404"/>
      <c r="F114" s="485"/>
      <c r="G114" s="487"/>
      <c r="H114" s="487"/>
      <c r="I114" s="487"/>
      <c r="J114" s="487"/>
      <c r="K114" s="487"/>
      <c r="L114" s="487"/>
      <c r="M114" s="487"/>
      <c r="N114" s="487"/>
      <c r="O114" s="487"/>
      <c r="P114" s="180" t="s">
        <v>2</v>
      </c>
      <c r="Q114" s="180" t="s">
        <v>4</v>
      </c>
      <c r="R114" s="167" t="s">
        <v>4</v>
      </c>
    </row>
    <row r="115" spans="1:18" x14ac:dyDescent="0.25">
      <c r="A115" s="474"/>
      <c r="B115" s="478">
        <v>5</v>
      </c>
      <c r="C115" s="480" t="s">
        <v>32</v>
      </c>
      <c r="D115" s="482" t="s">
        <v>35</v>
      </c>
      <c r="E115" s="404" t="s">
        <v>36</v>
      </c>
      <c r="F115" s="484" t="s">
        <v>19</v>
      </c>
      <c r="G115" s="486">
        <v>2.5</v>
      </c>
      <c r="H115" s="486">
        <v>7.86</v>
      </c>
      <c r="I115" s="486" t="s">
        <v>37</v>
      </c>
      <c r="J115" s="486" t="s">
        <v>14</v>
      </c>
      <c r="K115" s="488">
        <v>45117</v>
      </c>
      <c r="L115" s="486" t="s">
        <v>39</v>
      </c>
      <c r="M115" s="486">
        <v>17.3657</v>
      </c>
      <c r="N115" s="489" t="s">
        <v>42</v>
      </c>
      <c r="O115" s="489" t="s">
        <v>0</v>
      </c>
      <c r="P115" s="180" t="s">
        <v>2</v>
      </c>
      <c r="Q115" s="180" t="s">
        <v>4</v>
      </c>
      <c r="R115" s="167" t="s">
        <v>4</v>
      </c>
    </row>
    <row r="116" spans="1:18" x14ac:dyDescent="0.25">
      <c r="A116" s="474"/>
      <c r="B116" s="479"/>
      <c r="C116" s="481"/>
      <c r="D116" s="483"/>
      <c r="E116" s="404"/>
      <c r="F116" s="485"/>
      <c r="G116" s="487"/>
      <c r="H116" s="487"/>
      <c r="I116" s="487"/>
      <c r="J116" s="487"/>
      <c r="K116" s="487"/>
      <c r="L116" s="487"/>
      <c r="M116" s="487"/>
      <c r="N116" s="487"/>
      <c r="O116" s="487"/>
      <c r="P116" s="180" t="s">
        <v>2</v>
      </c>
      <c r="Q116" s="180" t="s">
        <v>4</v>
      </c>
      <c r="R116" s="167" t="s">
        <v>4</v>
      </c>
    </row>
    <row r="117" spans="1:18" x14ac:dyDescent="0.25">
      <c r="A117" s="474"/>
      <c r="B117" s="478">
        <v>6</v>
      </c>
      <c r="C117" s="480" t="s">
        <v>33</v>
      </c>
      <c r="D117" s="482" t="s">
        <v>35</v>
      </c>
      <c r="E117" s="404" t="s">
        <v>36</v>
      </c>
      <c r="F117" s="484" t="s">
        <v>19</v>
      </c>
      <c r="G117" s="486">
        <v>2.5</v>
      </c>
      <c r="H117" s="486">
        <v>7.86</v>
      </c>
      <c r="I117" s="486" t="s">
        <v>37</v>
      </c>
      <c r="J117" s="486" t="s">
        <v>14</v>
      </c>
      <c r="K117" s="488">
        <v>45117</v>
      </c>
      <c r="L117" s="486" t="s">
        <v>40</v>
      </c>
      <c r="M117" s="486">
        <v>17.373699999999999</v>
      </c>
      <c r="N117" s="489" t="s">
        <v>42</v>
      </c>
      <c r="O117" s="489" t="s">
        <v>0</v>
      </c>
      <c r="P117" s="180" t="s">
        <v>2</v>
      </c>
      <c r="Q117" s="180" t="s">
        <v>4</v>
      </c>
      <c r="R117" s="167" t="s">
        <v>4</v>
      </c>
    </row>
    <row r="118" spans="1:18" x14ac:dyDescent="0.25">
      <c r="A118" s="474"/>
      <c r="B118" s="479"/>
      <c r="C118" s="481"/>
      <c r="D118" s="483"/>
      <c r="E118" s="404"/>
      <c r="F118" s="485"/>
      <c r="G118" s="487"/>
      <c r="H118" s="487"/>
      <c r="I118" s="487"/>
      <c r="J118" s="487"/>
      <c r="K118" s="487"/>
      <c r="L118" s="487"/>
      <c r="M118" s="487"/>
      <c r="N118" s="487"/>
      <c r="O118" s="487"/>
      <c r="P118" s="180" t="s">
        <v>2</v>
      </c>
      <c r="Q118" s="180" t="s">
        <v>4</v>
      </c>
      <c r="R118" s="167" t="s">
        <v>4</v>
      </c>
    </row>
    <row r="119" spans="1:18" x14ac:dyDescent="0.25">
      <c r="A119" s="474"/>
      <c r="B119" s="478">
        <v>7</v>
      </c>
      <c r="C119" s="480" t="s">
        <v>34</v>
      </c>
      <c r="D119" s="482" t="s">
        <v>35</v>
      </c>
      <c r="E119" s="404" t="s">
        <v>36</v>
      </c>
      <c r="F119" s="484" t="s">
        <v>19</v>
      </c>
      <c r="G119" s="486">
        <v>2.5</v>
      </c>
      <c r="H119" s="486">
        <v>7.86</v>
      </c>
      <c r="I119" s="486" t="s">
        <v>37</v>
      </c>
      <c r="J119" s="486" t="s">
        <v>14</v>
      </c>
      <c r="K119" s="488">
        <v>45117</v>
      </c>
      <c r="L119" s="486" t="s">
        <v>41</v>
      </c>
      <c r="M119" s="486">
        <v>17.374500000000001</v>
      </c>
      <c r="N119" s="489" t="s">
        <v>42</v>
      </c>
      <c r="O119" s="489" t="s">
        <v>0</v>
      </c>
      <c r="P119" s="180" t="s">
        <v>2</v>
      </c>
      <c r="Q119" s="180" t="s">
        <v>4</v>
      </c>
      <c r="R119" s="167" t="s">
        <v>4</v>
      </c>
    </row>
    <row r="120" spans="1:18" x14ac:dyDescent="0.25">
      <c r="A120" s="474"/>
      <c r="B120" s="492"/>
      <c r="C120" s="493"/>
      <c r="D120" s="507"/>
      <c r="E120" s="385"/>
      <c r="F120" s="525"/>
      <c r="G120" s="517"/>
      <c r="H120" s="517"/>
      <c r="I120" s="517"/>
      <c r="J120" s="517"/>
      <c r="K120" s="517"/>
      <c r="L120" s="517"/>
      <c r="M120" s="517"/>
      <c r="N120" s="517"/>
      <c r="O120" s="517"/>
      <c r="P120" s="180" t="s">
        <v>2</v>
      </c>
      <c r="Q120" s="180" t="s">
        <v>4</v>
      </c>
      <c r="R120" s="167" t="s">
        <v>4</v>
      </c>
    </row>
    <row r="121" spans="1:18" x14ac:dyDescent="0.25">
      <c r="A121" s="474"/>
      <c r="B121" s="403" t="s">
        <v>43</v>
      </c>
      <c r="C121" s="403"/>
      <c r="D121" s="403"/>
      <c r="E121" s="403"/>
      <c r="F121" s="403"/>
      <c r="G121" s="403"/>
      <c r="H121" s="403"/>
      <c r="I121" s="403"/>
      <c r="J121" s="403"/>
      <c r="K121" s="403"/>
      <c r="L121" s="403"/>
      <c r="M121" s="403"/>
      <c r="N121" s="403"/>
      <c r="O121" s="403"/>
      <c r="P121" s="201"/>
      <c r="Q121" s="201"/>
      <c r="R121" s="201"/>
    </row>
    <row r="122" spans="1:18" ht="13.2" customHeight="1" x14ac:dyDescent="0.25">
      <c r="A122" s="474"/>
      <c r="B122" s="526">
        <v>8</v>
      </c>
      <c r="C122" s="527" t="s">
        <v>44</v>
      </c>
      <c r="D122" s="528" t="s">
        <v>45</v>
      </c>
      <c r="E122" s="385" t="s">
        <v>46</v>
      </c>
      <c r="F122" s="532" t="s">
        <v>19</v>
      </c>
      <c r="G122" s="535">
        <v>3.4</v>
      </c>
      <c r="H122" s="535">
        <v>7.86</v>
      </c>
      <c r="I122" s="535" t="s">
        <v>47</v>
      </c>
      <c r="J122" s="486" t="s">
        <v>48</v>
      </c>
      <c r="K122" s="536">
        <v>45118</v>
      </c>
      <c r="L122" s="46" t="s">
        <v>52</v>
      </c>
      <c r="M122" s="46">
        <v>24.958400000000001</v>
      </c>
      <c r="N122" s="524" t="s">
        <v>42</v>
      </c>
      <c r="O122" s="489" t="s">
        <v>0</v>
      </c>
      <c r="P122" s="180" t="s">
        <v>2</v>
      </c>
      <c r="Q122" s="180" t="s">
        <v>4</v>
      </c>
      <c r="R122" s="167" t="s">
        <v>4</v>
      </c>
    </row>
    <row r="123" spans="1:18" x14ac:dyDescent="0.25">
      <c r="A123" s="474"/>
      <c r="B123" s="492"/>
      <c r="C123" s="493"/>
      <c r="D123" s="529"/>
      <c r="E123" s="531"/>
      <c r="F123" s="533"/>
      <c r="G123" s="517"/>
      <c r="H123" s="517"/>
      <c r="I123" s="517"/>
      <c r="J123" s="487"/>
      <c r="K123" s="537"/>
      <c r="L123" s="46" t="s">
        <v>53</v>
      </c>
      <c r="M123" s="46">
        <v>24.907399999999999</v>
      </c>
      <c r="N123" s="491"/>
      <c r="O123" s="487"/>
      <c r="P123" s="180" t="s">
        <v>2</v>
      </c>
      <c r="Q123" s="180" t="s">
        <v>4</v>
      </c>
      <c r="R123" s="167" t="s">
        <v>4</v>
      </c>
    </row>
    <row r="124" spans="1:18" ht="13.2" customHeight="1" x14ac:dyDescent="0.25">
      <c r="A124" s="474"/>
      <c r="B124" s="492"/>
      <c r="C124" s="493"/>
      <c r="D124" s="529"/>
      <c r="E124" s="531"/>
      <c r="F124" s="533"/>
      <c r="G124" s="517"/>
      <c r="H124" s="517"/>
      <c r="I124" s="517"/>
      <c r="J124" s="486" t="s">
        <v>49</v>
      </c>
      <c r="K124" s="537"/>
      <c r="L124" s="46" t="s">
        <v>54</v>
      </c>
      <c r="M124" s="46">
        <v>24.595199999999998</v>
      </c>
      <c r="N124" s="491"/>
      <c r="O124" s="489" t="s">
        <v>0</v>
      </c>
      <c r="P124" s="180" t="s">
        <v>2</v>
      </c>
      <c r="Q124" s="180" t="s">
        <v>4</v>
      </c>
      <c r="R124" s="167" t="s">
        <v>4</v>
      </c>
    </row>
    <row r="125" spans="1:18" x14ac:dyDescent="0.25">
      <c r="A125" s="474"/>
      <c r="B125" s="492"/>
      <c r="C125" s="493"/>
      <c r="D125" s="529"/>
      <c r="E125" s="531"/>
      <c r="F125" s="533"/>
      <c r="G125" s="517"/>
      <c r="H125" s="517"/>
      <c r="I125" s="517"/>
      <c r="J125" s="487"/>
      <c r="K125" s="537"/>
      <c r="L125" s="46" t="s">
        <v>55</v>
      </c>
      <c r="M125" s="46">
        <v>24.663699999999999</v>
      </c>
      <c r="N125" s="491"/>
      <c r="O125" s="487"/>
      <c r="P125" s="180" t="s">
        <v>2</v>
      </c>
      <c r="Q125" s="180" t="s">
        <v>4</v>
      </c>
      <c r="R125" s="167" t="s">
        <v>4</v>
      </c>
    </row>
    <row r="126" spans="1:18" ht="13.2" customHeight="1" x14ac:dyDescent="0.25">
      <c r="A126" s="474"/>
      <c r="B126" s="492"/>
      <c r="C126" s="493"/>
      <c r="D126" s="529"/>
      <c r="E126" s="531"/>
      <c r="F126" s="533"/>
      <c r="G126" s="517"/>
      <c r="H126" s="517"/>
      <c r="I126" s="517"/>
      <c r="J126" s="486" t="s">
        <v>50</v>
      </c>
      <c r="K126" s="537"/>
      <c r="L126" s="46" t="s">
        <v>56</v>
      </c>
      <c r="M126" s="46">
        <v>24.734999999999999</v>
      </c>
      <c r="N126" s="491"/>
      <c r="O126" s="489" t="s">
        <v>0</v>
      </c>
      <c r="P126" s="180" t="s">
        <v>2</v>
      </c>
      <c r="Q126" s="180" t="s">
        <v>4</v>
      </c>
      <c r="R126" s="167" t="s">
        <v>4</v>
      </c>
    </row>
    <row r="127" spans="1:18" x14ac:dyDescent="0.25">
      <c r="A127" s="474"/>
      <c r="B127" s="479"/>
      <c r="C127" s="481"/>
      <c r="D127" s="530"/>
      <c r="E127" s="386"/>
      <c r="F127" s="534"/>
      <c r="G127" s="487"/>
      <c r="H127" s="487"/>
      <c r="I127" s="487"/>
      <c r="J127" s="487"/>
      <c r="K127" s="538"/>
      <c r="L127" s="46" t="s">
        <v>51</v>
      </c>
      <c r="M127" s="46">
        <v>25.08</v>
      </c>
      <c r="N127" s="494"/>
      <c r="O127" s="487"/>
      <c r="P127" s="180" t="s">
        <v>2</v>
      </c>
      <c r="Q127" s="180" t="s">
        <v>4</v>
      </c>
      <c r="R127" s="167" t="s">
        <v>4</v>
      </c>
    </row>
    <row r="128" spans="1:18" x14ac:dyDescent="0.25">
      <c r="A128" s="474"/>
      <c r="B128" s="526">
        <v>9</v>
      </c>
      <c r="C128" s="527" t="s">
        <v>57</v>
      </c>
      <c r="D128" s="528" t="s">
        <v>45</v>
      </c>
      <c r="E128" s="385" t="s">
        <v>46</v>
      </c>
      <c r="F128" s="532" t="s">
        <v>19</v>
      </c>
      <c r="G128" s="535">
        <v>3.4</v>
      </c>
      <c r="H128" s="535">
        <v>7.86</v>
      </c>
      <c r="I128" s="535" t="s">
        <v>47</v>
      </c>
      <c r="J128" s="486" t="s">
        <v>48</v>
      </c>
      <c r="K128" s="536">
        <v>45118</v>
      </c>
      <c r="L128" s="46" t="s">
        <v>58</v>
      </c>
      <c r="M128" s="46">
        <v>24.835599999999999</v>
      </c>
      <c r="N128" s="524" t="s">
        <v>42</v>
      </c>
      <c r="O128" s="489" t="s">
        <v>0</v>
      </c>
      <c r="P128" s="180" t="s">
        <v>2</v>
      </c>
      <c r="Q128" s="180" t="s">
        <v>4</v>
      </c>
      <c r="R128" s="167" t="s">
        <v>4</v>
      </c>
    </row>
    <row r="129" spans="1:18" x14ac:dyDescent="0.25">
      <c r="A129" s="474"/>
      <c r="B129" s="492"/>
      <c r="C129" s="493"/>
      <c r="D129" s="529"/>
      <c r="E129" s="531"/>
      <c r="F129" s="533"/>
      <c r="G129" s="517"/>
      <c r="H129" s="517"/>
      <c r="I129" s="517"/>
      <c r="J129" s="487"/>
      <c r="K129" s="537"/>
      <c r="L129" s="46" t="s">
        <v>59</v>
      </c>
      <c r="M129" s="46">
        <v>24.798500000000001</v>
      </c>
      <c r="N129" s="491"/>
      <c r="O129" s="487"/>
      <c r="P129" s="180" t="s">
        <v>2</v>
      </c>
      <c r="Q129" s="180" t="s">
        <v>4</v>
      </c>
      <c r="R129" s="167" t="s">
        <v>4</v>
      </c>
    </row>
    <row r="130" spans="1:18" x14ac:dyDescent="0.25">
      <c r="A130" s="474"/>
      <c r="B130" s="492"/>
      <c r="C130" s="493"/>
      <c r="D130" s="529"/>
      <c r="E130" s="531"/>
      <c r="F130" s="533"/>
      <c r="G130" s="517"/>
      <c r="H130" s="517"/>
      <c r="I130" s="517"/>
      <c r="J130" s="486" t="s">
        <v>49</v>
      </c>
      <c r="K130" s="537"/>
      <c r="L130" s="46" t="s">
        <v>60</v>
      </c>
      <c r="M130" s="46">
        <v>24.474399999999999</v>
      </c>
      <c r="N130" s="491"/>
      <c r="O130" s="489" t="s">
        <v>0</v>
      </c>
      <c r="P130" s="180" t="s">
        <v>2</v>
      </c>
      <c r="Q130" s="180" t="s">
        <v>4</v>
      </c>
      <c r="R130" s="167" t="s">
        <v>4</v>
      </c>
    </row>
    <row r="131" spans="1:18" x14ac:dyDescent="0.25">
      <c r="A131" s="474"/>
      <c r="B131" s="492"/>
      <c r="C131" s="493"/>
      <c r="D131" s="529"/>
      <c r="E131" s="531"/>
      <c r="F131" s="533"/>
      <c r="G131" s="517"/>
      <c r="H131" s="517"/>
      <c r="I131" s="517"/>
      <c r="J131" s="487"/>
      <c r="K131" s="537"/>
      <c r="L131" s="46" t="s">
        <v>61</v>
      </c>
      <c r="M131" s="46">
        <v>24.650700000000001</v>
      </c>
      <c r="N131" s="491"/>
      <c r="O131" s="487"/>
      <c r="P131" s="180" t="s">
        <v>2</v>
      </c>
      <c r="Q131" s="180" t="s">
        <v>4</v>
      </c>
      <c r="R131" s="167" t="s">
        <v>4</v>
      </c>
    </row>
    <row r="132" spans="1:18" x14ac:dyDescent="0.25">
      <c r="A132" s="474"/>
      <c r="B132" s="492"/>
      <c r="C132" s="493"/>
      <c r="D132" s="529"/>
      <c r="E132" s="531"/>
      <c r="F132" s="533"/>
      <c r="G132" s="517"/>
      <c r="H132" s="517"/>
      <c r="I132" s="517"/>
      <c r="J132" s="486" t="s">
        <v>50</v>
      </c>
      <c r="K132" s="537"/>
      <c r="L132" s="46" t="s">
        <v>62</v>
      </c>
      <c r="M132" s="46">
        <v>24.449300000000001</v>
      </c>
      <c r="N132" s="491"/>
      <c r="O132" s="489" t="s">
        <v>0</v>
      </c>
      <c r="P132" s="180" t="s">
        <v>2</v>
      </c>
      <c r="Q132" s="180" t="s">
        <v>4</v>
      </c>
      <c r="R132" s="167" t="s">
        <v>4</v>
      </c>
    </row>
    <row r="133" spans="1:18" x14ac:dyDescent="0.25">
      <c r="A133" s="474"/>
      <c r="B133" s="479"/>
      <c r="C133" s="481"/>
      <c r="D133" s="530"/>
      <c r="E133" s="386"/>
      <c r="F133" s="534"/>
      <c r="G133" s="487"/>
      <c r="H133" s="487"/>
      <c r="I133" s="487"/>
      <c r="J133" s="487"/>
      <c r="K133" s="538"/>
      <c r="L133" s="46" t="s">
        <v>63</v>
      </c>
      <c r="M133" s="46">
        <v>24.8843</v>
      </c>
      <c r="N133" s="494"/>
      <c r="O133" s="487"/>
      <c r="P133" s="180" t="s">
        <v>2</v>
      </c>
      <c r="Q133" s="180" t="s">
        <v>4</v>
      </c>
      <c r="R133" s="167" t="s">
        <v>4</v>
      </c>
    </row>
    <row r="134" spans="1:18" x14ac:dyDescent="0.25">
      <c r="A134" s="474"/>
      <c r="B134" s="526">
        <v>10</v>
      </c>
      <c r="C134" s="527" t="s">
        <v>64</v>
      </c>
      <c r="D134" s="528" t="s">
        <v>45</v>
      </c>
      <c r="E134" s="385" t="s">
        <v>46</v>
      </c>
      <c r="F134" s="532" t="s">
        <v>19</v>
      </c>
      <c r="G134" s="535">
        <v>3.4</v>
      </c>
      <c r="H134" s="535">
        <v>7.86</v>
      </c>
      <c r="I134" s="535" t="s">
        <v>47</v>
      </c>
      <c r="J134" s="486" t="s">
        <v>48</v>
      </c>
      <c r="K134" s="536">
        <v>45119</v>
      </c>
      <c r="L134" s="46" t="s">
        <v>65</v>
      </c>
      <c r="M134" s="46">
        <v>24.722300000000001</v>
      </c>
      <c r="N134" s="524" t="s">
        <v>42</v>
      </c>
      <c r="O134" s="489" t="s">
        <v>0</v>
      </c>
      <c r="P134" s="180" t="s">
        <v>2</v>
      </c>
      <c r="Q134" s="180" t="s">
        <v>4</v>
      </c>
      <c r="R134" s="167" t="s">
        <v>4</v>
      </c>
    </row>
    <row r="135" spans="1:18" x14ac:dyDescent="0.25">
      <c r="A135" s="474"/>
      <c r="B135" s="492"/>
      <c r="C135" s="493"/>
      <c r="D135" s="529"/>
      <c r="E135" s="531"/>
      <c r="F135" s="533"/>
      <c r="G135" s="517"/>
      <c r="H135" s="517"/>
      <c r="I135" s="517"/>
      <c r="J135" s="487"/>
      <c r="K135" s="537"/>
      <c r="L135" s="46" t="s">
        <v>66</v>
      </c>
      <c r="M135" s="46">
        <v>24.520900000000001</v>
      </c>
      <c r="N135" s="491"/>
      <c r="O135" s="487"/>
      <c r="P135" s="180" t="s">
        <v>2</v>
      </c>
      <c r="Q135" s="180" t="s">
        <v>4</v>
      </c>
      <c r="R135" s="167" t="s">
        <v>4</v>
      </c>
    </row>
    <row r="136" spans="1:18" x14ac:dyDescent="0.25">
      <c r="A136" s="474"/>
      <c r="B136" s="492"/>
      <c r="C136" s="493"/>
      <c r="D136" s="529"/>
      <c r="E136" s="531"/>
      <c r="F136" s="533"/>
      <c r="G136" s="517"/>
      <c r="H136" s="517"/>
      <c r="I136" s="517"/>
      <c r="J136" s="486" t="s">
        <v>49</v>
      </c>
      <c r="K136" s="537"/>
      <c r="L136" s="46" t="s">
        <v>67</v>
      </c>
      <c r="M136" s="46">
        <v>24.476900000000001</v>
      </c>
      <c r="N136" s="491"/>
      <c r="O136" s="489" t="s">
        <v>0</v>
      </c>
      <c r="P136" s="180" t="s">
        <v>2</v>
      </c>
      <c r="Q136" s="180" t="s">
        <v>4</v>
      </c>
      <c r="R136" s="167" t="s">
        <v>4</v>
      </c>
    </row>
    <row r="137" spans="1:18" x14ac:dyDescent="0.25">
      <c r="A137" s="474"/>
      <c r="B137" s="492"/>
      <c r="C137" s="493"/>
      <c r="D137" s="529"/>
      <c r="E137" s="531"/>
      <c r="F137" s="533"/>
      <c r="G137" s="517"/>
      <c r="H137" s="517"/>
      <c r="I137" s="517"/>
      <c r="J137" s="487"/>
      <c r="K137" s="537"/>
      <c r="L137" s="46" t="s">
        <v>68</v>
      </c>
      <c r="M137" s="46">
        <v>25.159400000000002</v>
      </c>
      <c r="N137" s="491"/>
      <c r="O137" s="487"/>
      <c r="P137" s="180" t="s">
        <v>2</v>
      </c>
      <c r="Q137" s="180" t="s">
        <v>4</v>
      </c>
      <c r="R137" s="167" t="s">
        <v>4</v>
      </c>
    </row>
    <row r="138" spans="1:18" x14ac:dyDescent="0.25">
      <c r="A138" s="474"/>
      <c r="B138" s="492"/>
      <c r="C138" s="493"/>
      <c r="D138" s="529"/>
      <c r="E138" s="531"/>
      <c r="F138" s="533"/>
      <c r="G138" s="517"/>
      <c r="H138" s="517"/>
      <c r="I138" s="517"/>
      <c r="J138" s="486" t="s">
        <v>50</v>
      </c>
      <c r="K138" s="537"/>
      <c r="L138" s="46" t="s">
        <v>69</v>
      </c>
      <c r="M138" s="46">
        <v>24.468800000000002</v>
      </c>
      <c r="N138" s="491"/>
      <c r="O138" s="489" t="s">
        <v>0</v>
      </c>
      <c r="P138" s="180" t="s">
        <v>2</v>
      </c>
      <c r="Q138" s="180" t="s">
        <v>4</v>
      </c>
      <c r="R138" s="167" t="s">
        <v>4</v>
      </c>
    </row>
    <row r="139" spans="1:18" x14ac:dyDescent="0.25">
      <c r="A139" s="474"/>
      <c r="B139" s="479"/>
      <c r="C139" s="481"/>
      <c r="D139" s="530"/>
      <c r="E139" s="386"/>
      <c r="F139" s="534"/>
      <c r="G139" s="487"/>
      <c r="H139" s="487"/>
      <c r="I139" s="487"/>
      <c r="J139" s="487"/>
      <c r="K139" s="538"/>
      <c r="L139" s="46" t="s">
        <v>70</v>
      </c>
      <c r="M139" s="46">
        <v>24.843800000000002</v>
      </c>
      <c r="N139" s="494"/>
      <c r="O139" s="487"/>
      <c r="P139" s="180" t="s">
        <v>2</v>
      </c>
      <c r="Q139" s="180" t="s">
        <v>4</v>
      </c>
      <c r="R139" s="167" t="s">
        <v>4</v>
      </c>
    </row>
    <row r="140" spans="1:18" x14ac:dyDescent="0.25">
      <c r="A140" s="474"/>
      <c r="B140" s="526">
        <v>11</v>
      </c>
      <c r="C140" s="527" t="s">
        <v>71</v>
      </c>
      <c r="D140" s="528" t="s">
        <v>45</v>
      </c>
      <c r="E140" s="385" t="s">
        <v>46</v>
      </c>
      <c r="F140" s="532" t="s">
        <v>19</v>
      </c>
      <c r="G140" s="535">
        <v>3.4</v>
      </c>
      <c r="H140" s="535">
        <v>7.86</v>
      </c>
      <c r="I140" s="535" t="s">
        <v>47</v>
      </c>
      <c r="J140" s="486" t="s">
        <v>48</v>
      </c>
      <c r="K140" s="536">
        <v>45119</v>
      </c>
      <c r="L140" s="46" t="s">
        <v>72</v>
      </c>
      <c r="M140" s="46">
        <v>24.764199999999999</v>
      </c>
      <c r="N140" s="524" t="s">
        <v>42</v>
      </c>
      <c r="O140" s="489" t="s">
        <v>0</v>
      </c>
      <c r="P140" s="180" t="s">
        <v>2</v>
      </c>
      <c r="Q140" s="180" t="s">
        <v>4</v>
      </c>
      <c r="R140" s="167" t="s">
        <v>4</v>
      </c>
    </row>
    <row r="141" spans="1:18" x14ac:dyDescent="0.25">
      <c r="A141" s="474"/>
      <c r="B141" s="492"/>
      <c r="C141" s="493"/>
      <c r="D141" s="529"/>
      <c r="E141" s="531"/>
      <c r="F141" s="533"/>
      <c r="G141" s="517"/>
      <c r="H141" s="517"/>
      <c r="I141" s="517"/>
      <c r="J141" s="487"/>
      <c r="K141" s="537"/>
      <c r="L141" s="46" t="s">
        <v>73</v>
      </c>
      <c r="M141" s="46">
        <v>24.622</v>
      </c>
      <c r="N141" s="491"/>
      <c r="O141" s="487"/>
      <c r="P141" s="180" t="s">
        <v>2</v>
      </c>
      <c r="Q141" s="180" t="s">
        <v>4</v>
      </c>
      <c r="R141" s="167" t="s">
        <v>4</v>
      </c>
    </row>
    <row r="142" spans="1:18" x14ac:dyDescent="0.25">
      <c r="A142" s="474"/>
      <c r="B142" s="492"/>
      <c r="C142" s="493"/>
      <c r="D142" s="529"/>
      <c r="E142" s="531"/>
      <c r="F142" s="533"/>
      <c r="G142" s="517"/>
      <c r="H142" s="517"/>
      <c r="I142" s="517"/>
      <c r="J142" s="486" t="s">
        <v>49</v>
      </c>
      <c r="K142" s="537"/>
      <c r="L142" s="46" t="s">
        <v>74</v>
      </c>
      <c r="M142" s="46">
        <v>24.642900000000001</v>
      </c>
      <c r="N142" s="491"/>
      <c r="O142" s="489" t="s">
        <v>0</v>
      </c>
      <c r="P142" s="180" t="s">
        <v>2</v>
      </c>
      <c r="Q142" s="180" t="s">
        <v>4</v>
      </c>
      <c r="R142" s="167" t="s">
        <v>4</v>
      </c>
    </row>
    <row r="143" spans="1:18" x14ac:dyDescent="0.25">
      <c r="A143" s="474"/>
      <c r="B143" s="492"/>
      <c r="C143" s="493"/>
      <c r="D143" s="529"/>
      <c r="E143" s="531"/>
      <c r="F143" s="533"/>
      <c r="G143" s="517"/>
      <c r="H143" s="517"/>
      <c r="I143" s="517"/>
      <c r="J143" s="487"/>
      <c r="K143" s="537"/>
      <c r="L143" s="46" t="s">
        <v>75</v>
      </c>
      <c r="M143" s="46">
        <v>24.5412</v>
      </c>
      <c r="N143" s="491"/>
      <c r="O143" s="487"/>
      <c r="P143" s="180" t="s">
        <v>2</v>
      </c>
      <c r="Q143" s="180" t="s">
        <v>4</v>
      </c>
      <c r="R143" s="167" t="s">
        <v>4</v>
      </c>
    </row>
    <row r="144" spans="1:18" x14ac:dyDescent="0.25">
      <c r="A144" s="474"/>
      <c r="B144" s="492"/>
      <c r="C144" s="493"/>
      <c r="D144" s="529"/>
      <c r="E144" s="531"/>
      <c r="F144" s="533"/>
      <c r="G144" s="517"/>
      <c r="H144" s="517"/>
      <c r="I144" s="517"/>
      <c r="J144" s="486" t="s">
        <v>50</v>
      </c>
      <c r="K144" s="537"/>
      <c r="L144" s="46" t="s">
        <v>76</v>
      </c>
      <c r="M144" s="46">
        <v>24.649699999999999</v>
      </c>
      <c r="N144" s="491"/>
      <c r="O144" s="489" t="s">
        <v>0</v>
      </c>
      <c r="P144" s="180" t="s">
        <v>2</v>
      </c>
      <c r="Q144" s="180" t="s">
        <v>4</v>
      </c>
      <c r="R144" s="167" t="s">
        <v>4</v>
      </c>
    </row>
    <row r="145" spans="1:18" x14ac:dyDescent="0.25">
      <c r="A145" s="474"/>
      <c r="B145" s="479"/>
      <c r="C145" s="481"/>
      <c r="D145" s="530"/>
      <c r="E145" s="386"/>
      <c r="F145" s="534"/>
      <c r="G145" s="487"/>
      <c r="H145" s="487"/>
      <c r="I145" s="487"/>
      <c r="J145" s="487"/>
      <c r="K145" s="538"/>
      <c r="L145" s="46" t="s">
        <v>77</v>
      </c>
      <c r="M145" s="46">
        <v>24.694099999999999</v>
      </c>
      <c r="N145" s="494"/>
      <c r="O145" s="487"/>
      <c r="P145" s="180" t="s">
        <v>2</v>
      </c>
      <c r="Q145" s="180" t="s">
        <v>4</v>
      </c>
      <c r="R145" s="167" t="s">
        <v>4</v>
      </c>
    </row>
    <row r="146" spans="1:18" x14ac:dyDescent="0.25">
      <c r="A146" s="474"/>
      <c r="B146" s="403" t="s">
        <v>78</v>
      </c>
      <c r="C146" s="403"/>
      <c r="D146" s="403"/>
      <c r="E146" s="403"/>
      <c r="F146" s="403"/>
      <c r="G146" s="403"/>
      <c r="H146" s="403"/>
      <c r="I146" s="403"/>
      <c r="J146" s="403"/>
      <c r="K146" s="403"/>
      <c r="L146" s="403"/>
      <c r="M146" s="403"/>
      <c r="N146" s="403"/>
      <c r="O146" s="403"/>
      <c r="P146" s="201"/>
      <c r="Q146" s="201"/>
      <c r="R146" s="201"/>
    </row>
    <row r="147" spans="1:18" x14ac:dyDescent="0.25">
      <c r="A147" s="474"/>
      <c r="B147" s="526">
        <v>12</v>
      </c>
      <c r="C147" s="527" t="s">
        <v>79</v>
      </c>
      <c r="D147" s="528" t="s">
        <v>45</v>
      </c>
      <c r="E147" s="385" t="s">
        <v>46</v>
      </c>
      <c r="F147" s="532" t="s">
        <v>19</v>
      </c>
      <c r="G147" s="535">
        <v>3.4</v>
      </c>
      <c r="H147" s="535">
        <v>7.86</v>
      </c>
      <c r="I147" s="535" t="s">
        <v>47</v>
      </c>
      <c r="J147" s="486" t="s">
        <v>48</v>
      </c>
      <c r="K147" s="536">
        <v>45119</v>
      </c>
      <c r="L147" s="46" t="s">
        <v>80</v>
      </c>
      <c r="M147" s="46">
        <v>24.7515</v>
      </c>
      <c r="N147" s="524" t="s">
        <v>42</v>
      </c>
      <c r="O147" s="489" t="s">
        <v>0</v>
      </c>
      <c r="P147" s="180" t="s">
        <v>2</v>
      </c>
      <c r="Q147" s="180" t="s">
        <v>4</v>
      </c>
      <c r="R147" s="167" t="s">
        <v>4</v>
      </c>
    </row>
    <row r="148" spans="1:18" x14ac:dyDescent="0.25">
      <c r="A148" s="474"/>
      <c r="B148" s="492"/>
      <c r="C148" s="493"/>
      <c r="D148" s="529"/>
      <c r="E148" s="531"/>
      <c r="F148" s="533"/>
      <c r="G148" s="517"/>
      <c r="H148" s="517"/>
      <c r="I148" s="517"/>
      <c r="J148" s="487"/>
      <c r="K148" s="537"/>
      <c r="L148" s="46" t="s">
        <v>81</v>
      </c>
      <c r="M148" s="46">
        <v>34.591000000000001</v>
      </c>
      <c r="N148" s="491"/>
      <c r="O148" s="487"/>
      <c r="P148" s="180" t="s">
        <v>2</v>
      </c>
      <c r="Q148" s="180" t="s">
        <v>4</v>
      </c>
      <c r="R148" s="167" t="s">
        <v>4</v>
      </c>
    </row>
    <row r="149" spans="1:18" x14ac:dyDescent="0.25">
      <c r="A149" s="474"/>
      <c r="B149" s="492"/>
      <c r="C149" s="493"/>
      <c r="D149" s="529"/>
      <c r="E149" s="531"/>
      <c r="F149" s="533"/>
      <c r="G149" s="517"/>
      <c r="H149" s="517"/>
      <c r="I149" s="517"/>
      <c r="J149" s="486" t="s">
        <v>49</v>
      </c>
      <c r="K149" s="537"/>
      <c r="L149" s="46" t="s">
        <v>82</v>
      </c>
      <c r="M149" s="46">
        <v>24.982299999999999</v>
      </c>
      <c r="N149" s="491"/>
      <c r="O149" s="489" t="s">
        <v>0</v>
      </c>
      <c r="P149" s="180" t="s">
        <v>2</v>
      </c>
      <c r="Q149" s="180" t="s">
        <v>4</v>
      </c>
      <c r="R149" s="167" t="s">
        <v>4</v>
      </c>
    </row>
    <row r="150" spans="1:18" x14ac:dyDescent="0.25">
      <c r="A150" s="474"/>
      <c r="B150" s="492"/>
      <c r="C150" s="493"/>
      <c r="D150" s="529"/>
      <c r="E150" s="531"/>
      <c r="F150" s="533"/>
      <c r="G150" s="517"/>
      <c r="H150" s="517"/>
      <c r="I150" s="517"/>
      <c r="J150" s="487"/>
      <c r="K150" s="537"/>
      <c r="L150" s="46" t="s">
        <v>83</v>
      </c>
      <c r="M150" s="46">
        <v>24.722799999999999</v>
      </c>
      <c r="N150" s="491"/>
      <c r="O150" s="487"/>
      <c r="P150" s="180" t="s">
        <v>2</v>
      </c>
      <c r="Q150" s="180" t="s">
        <v>4</v>
      </c>
      <c r="R150" s="167" t="s">
        <v>4</v>
      </c>
    </row>
    <row r="151" spans="1:18" x14ac:dyDescent="0.25">
      <c r="A151" s="474"/>
      <c r="B151" s="492"/>
      <c r="C151" s="493"/>
      <c r="D151" s="529"/>
      <c r="E151" s="531"/>
      <c r="F151" s="533"/>
      <c r="G151" s="517"/>
      <c r="H151" s="517"/>
      <c r="I151" s="517"/>
      <c r="J151" s="486" t="s">
        <v>50</v>
      </c>
      <c r="K151" s="537"/>
      <c r="L151" s="46" t="s">
        <v>84</v>
      </c>
      <c r="M151" s="46">
        <v>24.845600000000001</v>
      </c>
      <c r="N151" s="491"/>
      <c r="O151" s="489" t="s">
        <v>0</v>
      </c>
      <c r="P151" s="180" t="s">
        <v>2</v>
      </c>
      <c r="Q151" s="180" t="s">
        <v>4</v>
      </c>
      <c r="R151" s="167" t="s">
        <v>4</v>
      </c>
    </row>
    <row r="152" spans="1:18" x14ac:dyDescent="0.25">
      <c r="A152" s="474"/>
      <c r="B152" s="479"/>
      <c r="C152" s="481"/>
      <c r="D152" s="530"/>
      <c r="E152" s="386"/>
      <c r="F152" s="534"/>
      <c r="G152" s="487"/>
      <c r="H152" s="487"/>
      <c r="I152" s="487"/>
      <c r="J152" s="487"/>
      <c r="K152" s="538"/>
      <c r="L152" s="46" t="s">
        <v>85</v>
      </c>
      <c r="M152" s="46">
        <v>24.614999999999998</v>
      </c>
      <c r="N152" s="494"/>
      <c r="O152" s="487"/>
      <c r="P152" s="180" t="s">
        <v>2</v>
      </c>
      <c r="Q152" s="180" t="s">
        <v>4</v>
      </c>
      <c r="R152" s="167" t="s">
        <v>4</v>
      </c>
    </row>
    <row r="153" spans="1:18" x14ac:dyDescent="0.25">
      <c r="A153" s="474"/>
      <c r="B153" s="403" t="s">
        <v>87</v>
      </c>
      <c r="C153" s="403"/>
      <c r="D153" s="403"/>
      <c r="E153" s="403"/>
      <c r="F153" s="403"/>
      <c r="G153" s="403"/>
      <c r="H153" s="403"/>
      <c r="I153" s="403"/>
      <c r="J153" s="403"/>
      <c r="K153" s="403"/>
      <c r="L153" s="403"/>
      <c r="M153" s="403"/>
      <c r="N153" s="403"/>
      <c r="O153" s="403"/>
      <c r="P153" s="201"/>
      <c r="Q153" s="201"/>
      <c r="R153" s="201"/>
    </row>
    <row r="154" spans="1:18" x14ac:dyDescent="0.25">
      <c r="A154" s="474"/>
      <c r="B154" s="402">
        <v>13</v>
      </c>
      <c r="C154" s="403" t="s">
        <v>94</v>
      </c>
      <c r="D154" s="404" t="s">
        <v>12</v>
      </c>
      <c r="E154" s="404" t="s">
        <v>89</v>
      </c>
      <c r="F154" s="405" t="s">
        <v>19</v>
      </c>
      <c r="G154" s="405">
        <v>5.2</v>
      </c>
      <c r="H154" s="405">
        <v>7.86</v>
      </c>
      <c r="I154" s="405" t="s">
        <v>88</v>
      </c>
      <c r="J154" s="405" t="s">
        <v>14</v>
      </c>
      <c r="K154" s="490">
        <v>45121</v>
      </c>
      <c r="L154" s="56" t="s">
        <v>90</v>
      </c>
      <c r="M154" s="56">
        <v>36.722200000000001</v>
      </c>
      <c r="N154" s="404" t="s">
        <v>92</v>
      </c>
      <c r="O154" s="404" t="s">
        <v>0</v>
      </c>
      <c r="P154" s="180" t="s">
        <v>2</v>
      </c>
      <c r="Q154" s="180" t="s">
        <v>4</v>
      </c>
      <c r="R154" s="167" t="s">
        <v>4</v>
      </c>
    </row>
    <row r="155" spans="1:18" x14ac:dyDescent="0.25">
      <c r="A155" s="474"/>
      <c r="B155" s="402"/>
      <c r="C155" s="403"/>
      <c r="D155" s="405"/>
      <c r="E155" s="404"/>
      <c r="F155" s="405"/>
      <c r="G155" s="405"/>
      <c r="H155" s="405"/>
      <c r="I155" s="405"/>
      <c r="J155" s="405"/>
      <c r="K155" s="405"/>
      <c r="L155" s="56" t="s">
        <v>91</v>
      </c>
      <c r="M155" s="56">
        <v>36.817300000000003</v>
      </c>
      <c r="N155" s="405"/>
      <c r="O155" s="405"/>
      <c r="P155" s="180" t="s">
        <v>2</v>
      </c>
      <c r="Q155" s="180" t="s">
        <v>4</v>
      </c>
      <c r="R155" s="167" t="s">
        <v>4</v>
      </c>
    </row>
    <row r="156" spans="1:18" x14ac:dyDescent="0.25">
      <c r="A156" s="474"/>
      <c r="B156" s="403" t="s">
        <v>93</v>
      </c>
      <c r="C156" s="403"/>
      <c r="D156" s="403"/>
      <c r="E156" s="403"/>
      <c r="F156" s="403"/>
      <c r="G156" s="403"/>
      <c r="H156" s="403"/>
      <c r="I156" s="403"/>
      <c r="J156" s="403"/>
      <c r="K156" s="403"/>
      <c r="L156" s="403"/>
      <c r="M156" s="403"/>
      <c r="N156" s="403"/>
      <c r="O156" s="403"/>
      <c r="P156" s="201"/>
      <c r="Q156" s="201"/>
      <c r="R156" s="201"/>
    </row>
    <row r="157" spans="1:18" x14ac:dyDescent="0.25">
      <c r="A157" s="474"/>
      <c r="B157" s="402">
        <v>14</v>
      </c>
      <c r="C157" s="403" t="s">
        <v>97</v>
      </c>
      <c r="D157" s="404" t="s">
        <v>12</v>
      </c>
      <c r="E157" s="404" t="s">
        <v>89</v>
      </c>
      <c r="F157" s="405" t="s">
        <v>19</v>
      </c>
      <c r="G157" s="405">
        <v>5.2</v>
      </c>
      <c r="H157" s="405">
        <v>7.86</v>
      </c>
      <c r="I157" s="405" t="s">
        <v>95</v>
      </c>
      <c r="J157" s="405" t="s">
        <v>14</v>
      </c>
      <c r="K157" s="490">
        <v>45120</v>
      </c>
      <c r="L157" s="56" t="s">
        <v>105</v>
      </c>
      <c r="M157" s="56">
        <v>36.917499999999997</v>
      </c>
      <c r="N157" s="404" t="s">
        <v>96</v>
      </c>
      <c r="O157" s="404" t="s">
        <v>0</v>
      </c>
      <c r="P157" s="180" t="s">
        <v>2</v>
      </c>
      <c r="Q157" s="180" t="s">
        <v>4</v>
      </c>
      <c r="R157" s="167" t="s">
        <v>4</v>
      </c>
    </row>
    <row r="158" spans="1:18" x14ac:dyDescent="0.25">
      <c r="A158" s="474"/>
      <c r="B158" s="402"/>
      <c r="C158" s="403"/>
      <c r="D158" s="405"/>
      <c r="E158" s="404"/>
      <c r="F158" s="405"/>
      <c r="G158" s="405"/>
      <c r="H158" s="405"/>
      <c r="I158" s="405"/>
      <c r="J158" s="405"/>
      <c r="K158" s="405"/>
      <c r="L158" s="56" t="s">
        <v>106</v>
      </c>
      <c r="M158" s="56">
        <v>36.8386</v>
      </c>
      <c r="N158" s="405"/>
      <c r="O158" s="405"/>
      <c r="P158" s="180" t="s">
        <v>2</v>
      </c>
      <c r="Q158" s="180" t="s">
        <v>4</v>
      </c>
      <c r="R158" s="167" t="s">
        <v>4</v>
      </c>
    </row>
    <row r="159" spans="1:18" x14ac:dyDescent="0.25">
      <c r="A159" s="474"/>
      <c r="B159" s="402">
        <v>15</v>
      </c>
      <c r="C159" s="403" t="s">
        <v>98</v>
      </c>
      <c r="D159" s="404" t="s">
        <v>12</v>
      </c>
      <c r="E159" s="404" t="s">
        <v>89</v>
      </c>
      <c r="F159" s="405" t="s">
        <v>19</v>
      </c>
      <c r="G159" s="405">
        <v>5.2</v>
      </c>
      <c r="H159" s="405">
        <v>7.86</v>
      </c>
      <c r="I159" s="405" t="s">
        <v>102</v>
      </c>
      <c r="J159" s="405" t="s">
        <v>14</v>
      </c>
      <c r="K159" s="490">
        <v>45120</v>
      </c>
      <c r="L159" s="56" t="s">
        <v>107</v>
      </c>
      <c r="M159" s="56">
        <v>36.930700000000002</v>
      </c>
      <c r="N159" s="404" t="s">
        <v>96</v>
      </c>
      <c r="O159" s="404" t="s">
        <v>0</v>
      </c>
      <c r="P159" s="180" t="s">
        <v>2</v>
      </c>
      <c r="Q159" s="180" t="s">
        <v>4</v>
      </c>
      <c r="R159" s="167" t="s">
        <v>4</v>
      </c>
    </row>
    <row r="160" spans="1:18" x14ac:dyDescent="0.25">
      <c r="A160" s="474"/>
      <c r="B160" s="402"/>
      <c r="C160" s="403"/>
      <c r="D160" s="405"/>
      <c r="E160" s="404"/>
      <c r="F160" s="405"/>
      <c r="G160" s="405"/>
      <c r="H160" s="405"/>
      <c r="I160" s="405"/>
      <c r="J160" s="405"/>
      <c r="K160" s="405"/>
      <c r="L160" s="56" t="s">
        <v>108</v>
      </c>
      <c r="M160" s="56">
        <v>36.893900000000002</v>
      </c>
      <c r="N160" s="405"/>
      <c r="O160" s="405"/>
      <c r="P160" s="180" t="s">
        <v>2</v>
      </c>
      <c r="Q160" s="180" t="s">
        <v>4</v>
      </c>
      <c r="R160" s="167" t="s">
        <v>4</v>
      </c>
    </row>
    <row r="161" spans="1:18" x14ac:dyDescent="0.25">
      <c r="A161" s="474"/>
      <c r="B161" s="402">
        <v>16</v>
      </c>
      <c r="C161" s="403" t="s">
        <v>99</v>
      </c>
      <c r="D161" s="404" t="s">
        <v>12</v>
      </c>
      <c r="E161" s="404" t="s">
        <v>89</v>
      </c>
      <c r="F161" s="405" t="s">
        <v>19</v>
      </c>
      <c r="G161" s="405">
        <v>5.2</v>
      </c>
      <c r="H161" s="405">
        <v>7.86</v>
      </c>
      <c r="I161" s="405" t="s">
        <v>102</v>
      </c>
      <c r="J161" s="405" t="s">
        <v>14</v>
      </c>
      <c r="K161" s="490">
        <v>45120</v>
      </c>
      <c r="L161" s="56" t="s">
        <v>109</v>
      </c>
      <c r="M161" s="56">
        <v>36.612400000000001</v>
      </c>
      <c r="N161" s="404" t="s">
        <v>96</v>
      </c>
      <c r="O161" s="404" t="s">
        <v>0</v>
      </c>
      <c r="P161" s="180" t="s">
        <v>2</v>
      </c>
      <c r="Q161" s="180" t="s">
        <v>4</v>
      </c>
      <c r="R161" s="167" t="s">
        <v>4</v>
      </c>
    </row>
    <row r="162" spans="1:18" x14ac:dyDescent="0.25">
      <c r="A162" s="474"/>
      <c r="B162" s="402"/>
      <c r="C162" s="403"/>
      <c r="D162" s="405"/>
      <c r="E162" s="404"/>
      <c r="F162" s="405"/>
      <c r="G162" s="405"/>
      <c r="H162" s="405"/>
      <c r="I162" s="405"/>
      <c r="J162" s="405"/>
      <c r="K162" s="405"/>
      <c r="L162" s="56" t="s">
        <v>110</v>
      </c>
      <c r="M162" s="56">
        <v>36.940399999999997</v>
      </c>
      <c r="N162" s="405"/>
      <c r="O162" s="405"/>
      <c r="P162" s="180" t="s">
        <v>2</v>
      </c>
      <c r="Q162" s="180" t="s">
        <v>4</v>
      </c>
      <c r="R162" s="167" t="s">
        <v>4</v>
      </c>
    </row>
    <row r="163" spans="1:18" x14ac:dyDescent="0.25">
      <c r="A163" s="474"/>
      <c r="B163" s="402">
        <v>17</v>
      </c>
      <c r="C163" s="403" t="s">
        <v>100</v>
      </c>
      <c r="D163" s="404" t="s">
        <v>12</v>
      </c>
      <c r="E163" s="404" t="s">
        <v>89</v>
      </c>
      <c r="F163" s="405" t="s">
        <v>19</v>
      </c>
      <c r="G163" s="405">
        <v>5.2</v>
      </c>
      <c r="H163" s="405">
        <v>7.86</v>
      </c>
      <c r="I163" s="405" t="s">
        <v>103</v>
      </c>
      <c r="J163" s="405" t="s">
        <v>14</v>
      </c>
      <c r="K163" s="490">
        <v>45120</v>
      </c>
      <c r="L163" s="56" t="s">
        <v>111</v>
      </c>
      <c r="M163" s="56">
        <v>36.978400000000001</v>
      </c>
      <c r="N163" s="404" t="s">
        <v>96</v>
      </c>
      <c r="O163" s="404" t="s">
        <v>0</v>
      </c>
      <c r="P163" s="180" t="s">
        <v>2</v>
      </c>
      <c r="Q163" s="180" t="s">
        <v>4</v>
      </c>
      <c r="R163" s="167" t="s">
        <v>4</v>
      </c>
    </row>
    <row r="164" spans="1:18" x14ac:dyDescent="0.25">
      <c r="A164" s="474"/>
      <c r="B164" s="402"/>
      <c r="C164" s="403"/>
      <c r="D164" s="405"/>
      <c r="E164" s="404"/>
      <c r="F164" s="405"/>
      <c r="G164" s="405"/>
      <c r="H164" s="405"/>
      <c r="I164" s="405"/>
      <c r="J164" s="405"/>
      <c r="K164" s="405"/>
      <c r="L164" s="56" t="s">
        <v>112</v>
      </c>
      <c r="M164" s="56">
        <v>36.683399999999999</v>
      </c>
      <c r="N164" s="405"/>
      <c r="O164" s="405"/>
      <c r="P164" s="180" t="s">
        <v>2</v>
      </c>
      <c r="Q164" s="180" t="s">
        <v>4</v>
      </c>
      <c r="R164" s="167" t="s">
        <v>4</v>
      </c>
    </row>
    <row r="165" spans="1:18" x14ac:dyDescent="0.25">
      <c r="A165" s="474"/>
      <c r="B165" s="402">
        <v>18</v>
      </c>
      <c r="C165" s="403" t="s">
        <v>101</v>
      </c>
      <c r="D165" s="404" t="s">
        <v>12</v>
      </c>
      <c r="E165" s="404" t="s">
        <v>89</v>
      </c>
      <c r="F165" s="405" t="s">
        <v>19</v>
      </c>
      <c r="G165" s="405">
        <v>5.2</v>
      </c>
      <c r="H165" s="405">
        <v>7.86</v>
      </c>
      <c r="I165" s="405" t="s">
        <v>104</v>
      </c>
      <c r="J165" s="405" t="s">
        <v>14</v>
      </c>
      <c r="K165" s="490">
        <v>45120</v>
      </c>
      <c r="L165" s="56" t="s">
        <v>113</v>
      </c>
      <c r="M165" s="56">
        <v>36.698500000000003</v>
      </c>
      <c r="N165" s="404" t="s">
        <v>96</v>
      </c>
      <c r="O165" s="404" t="s">
        <v>0</v>
      </c>
      <c r="P165" s="180" t="s">
        <v>2</v>
      </c>
      <c r="Q165" s="180" t="s">
        <v>4</v>
      </c>
      <c r="R165" s="167" t="s">
        <v>4</v>
      </c>
    </row>
    <row r="166" spans="1:18" x14ac:dyDescent="0.25">
      <c r="A166" s="474"/>
      <c r="B166" s="402"/>
      <c r="C166" s="403"/>
      <c r="D166" s="405"/>
      <c r="E166" s="404"/>
      <c r="F166" s="405"/>
      <c r="G166" s="405"/>
      <c r="H166" s="405"/>
      <c r="I166" s="405"/>
      <c r="J166" s="405"/>
      <c r="K166" s="405"/>
      <c r="L166" s="56" t="s">
        <v>114</v>
      </c>
      <c r="M166" s="56">
        <v>36.818100000000001</v>
      </c>
      <c r="N166" s="405"/>
      <c r="O166" s="405"/>
      <c r="P166" s="180" t="s">
        <v>2</v>
      </c>
      <c r="Q166" s="180" t="s">
        <v>4</v>
      </c>
      <c r="R166" s="167" t="s">
        <v>4</v>
      </c>
    </row>
    <row r="167" spans="1:18" x14ac:dyDescent="0.25">
      <c r="A167" s="474"/>
      <c r="B167" s="403" t="s">
        <v>115</v>
      </c>
      <c r="C167" s="403"/>
      <c r="D167" s="403"/>
      <c r="E167" s="403"/>
      <c r="F167" s="403"/>
      <c r="G167" s="403"/>
      <c r="H167" s="403"/>
      <c r="I167" s="403"/>
      <c r="J167" s="403"/>
      <c r="K167" s="403"/>
      <c r="L167" s="403"/>
      <c r="M167" s="403"/>
      <c r="N167" s="403"/>
      <c r="O167" s="403"/>
      <c r="P167" s="201"/>
      <c r="Q167" s="201"/>
      <c r="R167" s="201"/>
    </row>
    <row r="168" spans="1:18" x14ac:dyDescent="0.25">
      <c r="A168" s="474"/>
      <c r="B168" s="402">
        <v>1</v>
      </c>
      <c r="C168" s="403" t="s">
        <v>116</v>
      </c>
      <c r="D168" s="404" t="s">
        <v>117</v>
      </c>
      <c r="E168" s="404" t="s">
        <v>36</v>
      </c>
      <c r="F168" s="405" t="s">
        <v>19</v>
      </c>
      <c r="G168" s="405">
        <v>2.5</v>
      </c>
      <c r="H168" s="405">
        <v>7.86</v>
      </c>
      <c r="I168" s="405" t="s">
        <v>117</v>
      </c>
      <c r="J168" s="405" t="s">
        <v>117</v>
      </c>
      <c r="K168" s="490" t="s">
        <v>117</v>
      </c>
      <c r="L168" s="407" t="s">
        <v>119</v>
      </c>
      <c r="M168" s="407"/>
      <c r="N168" s="404" t="s">
        <v>117</v>
      </c>
      <c r="O168" s="404" t="s">
        <v>118</v>
      </c>
      <c r="P168" s="371" t="s">
        <v>2</v>
      </c>
      <c r="Q168" s="371" t="s">
        <v>4</v>
      </c>
      <c r="R168" s="398" t="s">
        <v>120</v>
      </c>
    </row>
    <row r="169" spans="1:18" x14ac:dyDescent="0.25">
      <c r="A169" s="474"/>
      <c r="B169" s="402"/>
      <c r="C169" s="403"/>
      <c r="D169" s="405"/>
      <c r="E169" s="404"/>
      <c r="F169" s="405"/>
      <c r="G169" s="405"/>
      <c r="H169" s="405"/>
      <c r="I169" s="405"/>
      <c r="J169" s="405"/>
      <c r="K169" s="405"/>
      <c r="L169" s="409"/>
      <c r="M169" s="409"/>
      <c r="N169" s="405"/>
      <c r="O169" s="405"/>
      <c r="P169" s="371"/>
      <c r="Q169" s="371"/>
      <c r="R169" s="398"/>
    </row>
    <row r="170" spans="1:18" x14ac:dyDescent="0.25">
      <c r="A170" s="474"/>
      <c r="B170" s="402">
        <v>2</v>
      </c>
      <c r="C170" s="403" t="s">
        <v>121</v>
      </c>
      <c r="D170" s="404" t="s">
        <v>117</v>
      </c>
      <c r="E170" s="404" t="s">
        <v>117</v>
      </c>
      <c r="F170" s="405" t="s">
        <v>19</v>
      </c>
      <c r="G170" s="405" t="s">
        <v>117</v>
      </c>
      <c r="H170" s="405">
        <v>7.86</v>
      </c>
      <c r="I170" s="405" t="s">
        <v>117</v>
      </c>
      <c r="J170" s="405" t="s">
        <v>117</v>
      </c>
      <c r="K170" s="490" t="s">
        <v>117</v>
      </c>
      <c r="L170" s="407" t="s">
        <v>117</v>
      </c>
      <c r="M170" s="407"/>
      <c r="N170" s="404" t="s">
        <v>117</v>
      </c>
      <c r="O170" s="404" t="s">
        <v>122</v>
      </c>
      <c r="P170" s="398" t="s">
        <v>123</v>
      </c>
      <c r="Q170" s="398" t="s">
        <v>124</v>
      </c>
      <c r="R170" s="398" t="s">
        <v>120</v>
      </c>
    </row>
    <row r="171" spans="1:18" ht="13.8" thickBot="1" x14ac:dyDescent="0.3">
      <c r="A171" s="474"/>
      <c r="B171" s="402"/>
      <c r="C171" s="403"/>
      <c r="D171" s="405"/>
      <c r="E171" s="404"/>
      <c r="F171" s="405"/>
      <c r="G171" s="405"/>
      <c r="H171" s="405"/>
      <c r="I171" s="405"/>
      <c r="J171" s="405"/>
      <c r="K171" s="405"/>
      <c r="L171" s="409"/>
      <c r="M171" s="409"/>
      <c r="N171" s="405"/>
      <c r="O171" s="405"/>
      <c r="P171" s="398"/>
      <c r="Q171" s="398"/>
      <c r="R171" s="398"/>
    </row>
    <row r="172" spans="1:18" x14ac:dyDescent="0.25">
      <c r="A172" s="187"/>
      <c r="B172" s="422" t="s">
        <v>128</v>
      </c>
      <c r="C172" s="423"/>
      <c r="D172" s="423"/>
      <c r="E172" s="423"/>
      <c r="F172" s="423"/>
      <c r="G172" s="423"/>
      <c r="H172" s="423"/>
      <c r="I172" s="423"/>
      <c r="J172" s="423"/>
      <c r="K172" s="423"/>
      <c r="L172" s="423"/>
      <c r="M172" s="423"/>
      <c r="N172" s="423"/>
      <c r="O172" s="424"/>
      <c r="P172" s="422" t="s">
        <v>130</v>
      </c>
      <c r="Q172" s="423"/>
      <c r="R172" s="425"/>
    </row>
    <row r="173" spans="1:18" ht="13.8" thickBot="1" x14ac:dyDescent="0.3">
      <c r="A173" s="187"/>
      <c r="B173" s="426" t="s">
        <v>129</v>
      </c>
      <c r="C173" s="427"/>
      <c r="D173" s="427"/>
      <c r="E173" s="427"/>
      <c r="F173" s="427"/>
      <c r="G173" s="427"/>
      <c r="H173" s="427"/>
      <c r="I173" s="427"/>
      <c r="J173" s="427"/>
      <c r="K173" s="427"/>
      <c r="L173" s="427"/>
      <c r="M173" s="427"/>
      <c r="N173" s="427"/>
      <c r="O173" s="428"/>
      <c r="P173" s="426" t="s">
        <v>130</v>
      </c>
      <c r="Q173" s="427"/>
      <c r="R173" s="429"/>
    </row>
    <row r="174" spans="1:18" ht="13.8" thickBot="1" x14ac:dyDescent="0.3">
      <c r="A174" s="393" t="s">
        <v>607</v>
      </c>
      <c r="B174" s="416" t="s">
        <v>307</v>
      </c>
      <c r="C174" s="417"/>
      <c r="D174" s="417"/>
      <c r="E174" s="417"/>
      <c r="F174" s="417"/>
      <c r="G174" s="417"/>
      <c r="H174" s="417"/>
      <c r="I174" s="417"/>
      <c r="J174" s="417"/>
      <c r="K174" s="417"/>
      <c r="L174" s="417"/>
      <c r="M174" s="417"/>
      <c r="N174" s="417"/>
      <c r="O174" s="417"/>
      <c r="P174" s="417"/>
      <c r="Q174" s="417"/>
      <c r="R174" s="418"/>
    </row>
    <row r="175" spans="1:18" ht="13.8" thickBot="1" x14ac:dyDescent="0.3">
      <c r="A175" s="393"/>
      <c r="B175" s="382" t="s">
        <v>308</v>
      </c>
      <c r="C175" s="383"/>
      <c r="D175" s="383"/>
      <c r="E175" s="383"/>
      <c r="F175" s="383"/>
      <c r="G175" s="383"/>
      <c r="H175" s="383"/>
      <c r="I175" s="383"/>
      <c r="J175" s="383"/>
      <c r="K175" s="383"/>
      <c r="L175" s="383"/>
      <c r="M175" s="383"/>
      <c r="N175" s="383"/>
      <c r="O175" s="384"/>
      <c r="P175" s="187"/>
      <c r="Q175" s="187"/>
      <c r="R175" s="187"/>
    </row>
    <row r="176" spans="1:18" x14ac:dyDescent="0.25">
      <c r="A176" s="393"/>
      <c r="B176" s="434">
        <v>1</v>
      </c>
      <c r="C176" s="436" t="s">
        <v>309</v>
      </c>
      <c r="D176" s="438" t="s">
        <v>310</v>
      </c>
      <c r="E176" s="440" t="s">
        <v>89</v>
      </c>
      <c r="F176" s="440" t="s">
        <v>19</v>
      </c>
      <c r="G176" s="442">
        <v>5.2</v>
      </c>
      <c r="H176" s="444">
        <v>7.86</v>
      </c>
      <c r="I176" s="440" t="s">
        <v>188</v>
      </c>
      <c r="J176" s="440" t="s">
        <v>14</v>
      </c>
      <c r="K176" s="469">
        <v>44963</v>
      </c>
      <c r="L176" s="202" t="s">
        <v>311</v>
      </c>
      <c r="M176" s="204">
        <v>36.808599999999998</v>
      </c>
      <c r="N176" s="432" t="s">
        <v>438</v>
      </c>
      <c r="O176" s="433"/>
      <c r="P176" s="180" t="s">
        <v>2</v>
      </c>
      <c r="Q176" s="180" t="s">
        <v>4</v>
      </c>
      <c r="R176" s="167" t="s">
        <v>4</v>
      </c>
    </row>
    <row r="177" spans="1:18" ht="13.8" thickBot="1" x14ac:dyDescent="0.3">
      <c r="A177" s="393"/>
      <c r="B177" s="435"/>
      <c r="C177" s="437"/>
      <c r="D177" s="439"/>
      <c r="E177" s="441"/>
      <c r="F177" s="441"/>
      <c r="G177" s="443"/>
      <c r="H177" s="445"/>
      <c r="I177" s="441"/>
      <c r="J177" s="441"/>
      <c r="K177" s="469"/>
      <c r="L177" s="207" t="s">
        <v>312</v>
      </c>
      <c r="M177" s="210">
        <v>36.923699999999997</v>
      </c>
      <c r="N177" s="448"/>
      <c r="O177" s="449"/>
      <c r="P177" s="180" t="s">
        <v>2</v>
      </c>
      <c r="Q177" s="180" t="s">
        <v>4</v>
      </c>
      <c r="R177" s="167" t="s">
        <v>4</v>
      </c>
    </row>
    <row r="178" spans="1:18" ht="13.8" thickBot="1" x14ac:dyDescent="0.3">
      <c r="A178" s="393"/>
      <c r="B178" s="382" t="s">
        <v>313</v>
      </c>
      <c r="C178" s="383"/>
      <c r="D178" s="383"/>
      <c r="E178" s="383"/>
      <c r="F178" s="383"/>
      <c r="G178" s="383"/>
      <c r="H178" s="383"/>
      <c r="I178" s="383"/>
      <c r="J178" s="383"/>
      <c r="K178" s="383"/>
      <c r="L178" s="383"/>
      <c r="M178" s="383"/>
      <c r="N178" s="383"/>
      <c r="O178" s="384"/>
      <c r="P178" s="187"/>
      <c r="Q178" s="187"/>
      <c r="R178" s="187"/>
    </row>
    <row r="179" spans="1:18" x14ac:dyDescent="0.25">
      <c r="A179" s="393"/>
      <c r="B179" s="434">
        <v>2</v>
      </c>
      <c r="C179" s="436" t="s">
        <v>314</v>
      </c>
      <c r="D179" s="438" t="s">
        <v>315</v>
      </c>
      <c r="E179" s="440" t="s">
        <v>89</v>
      </c>
      <c r="F179" s="440" t="s">
        <v>19</v>
      </c>
      <c r="G179" s="442">
        <v>5.2</v>
      </c>
      <c r="H179" s="444">
        <v>7.86</v>
      </c>
      <c r="I179" s="440" t="s">
        <v>316</v>
      </c>
      <c r="J179" s="440" t="s">
        <v>317</v>
      </c>
      <c r="K179" s="469">
        <v>44964</v>
      </c>
      <c r="L179" s="202" t="s">
        <v>318</v>
      </c>
      <c r="M179" s="204">
        <v>36.991700000000002</v>
      </c>
      <c r="N179" s="432" t="s">
        <v>438</v>
      </c>
      <c r="O179" s="433"/>
      <c r="P179" s="180" t="s">
        <v>2</v>
      </c>
      <c r="Q179" s="180" t="s">
        <v>4</v>
      </c>
      <c r="R179" s="167" t="s">
        <v>4</v>
      </c>
    </row>
    <row r="180" spans="1:18" x14ac:dyDescent="0.25">
      <c r="A180" s="393"/>
      <c r="B180" s="434"/>
      <c r="C180" s="436"/>
      <c r="D180" s="450"/>
      <c r="E180" s="440"/>
      <c r="F180" s="440"/>
      <c r="G180" s="442"/>
      <c r="H180" s="444"/>
      <c r="I180" s="440"/>
      <c r="J180" s="440"/>
      <c r="K180" s="469"/>
      <c r="L180" s="202" t="s">
        <v>319</v>
      </c>
      <c r="M180" s="204">
        <v>36.9756</v>
      </c>
      <c r="N180" s="432"/>
      <c r="O180" s="433"/>
      <c r="P180" s="180" t="s">
        <v>2</v>
      </c>
      <c r="Q180" s="180" t="s">
        <v>4</v>
      </c>
      <c r="R180" s="167" t="s">
        <v>4</v>
      </c>
    </row>
    <row r="181" spans="1:18" x14ac:dyDescent="0.25">
      <c r="A181" s="393"/>
      <c r="B181" s="434">
        <v>3</v>
      </c>
      <c r="C181" s="436" t="s">
        <v>320</v>
      </c>
      <c r="D181" s="438" t="s">
        <v>315</v>
      </c>
      <c r="E181" s="440" t="s">
        <v>89</v>
      </c>
      <c r="F181" s="440" t="s">
        <v>19</v>
      </c>
      <c r="G181" s="442">
        <v>5.2</v>
      </c>
      <c r="H181" s="444">
        <v>7.86</v>
      </c>
      <c r="I181" s="440" t="s">
        <v>149</v>
      </c>
      <c r="J181" s="440" t="s">
        <v>317</v>
      </c>
      <c r="K181" s="469">
        <v>44964</v>
      </c>
      <c r="L181" s="202" t="s">
        <v>321</v>
      </c>
      <c r="M181" s="204">
        <v>36.7879</v>
      </c>
      <c r="N181" s="432" t="s">
        <v>438</v>
      </c>
      <c r="O181" s="433"/>
      <c r="P181" s="180" t="s">
        <v>2</v>
      </c>
      <c r="Q181" s="180" t="s">
        <v>4</v>
      </c>
      <c r="R181" s="167" t="s">
        <v>4</v>
      </c>
    </row>
    <row r="182" spans="1:18" x14ac:dyDescent="0.25">
      <c r="A182" s="393"/>
      <c r="B182" s="434"/>
      <c r="C182" s="436"/>
      <c r="D182" s="450"/>
      <c r="E182" s="440"/>
      <c r="F182" s="440"/>
      <c r="G182" s="442"/>
      <c r="H182" s="444"/>
      <c r="I182" s="440"/>
      <c r="J182" s="440"/>
      <c r="K182" s="469"/>
      <c r="L182" s="202" t="s">
        <v>322</v>
      </c>
      <c r="M182" s="204">
        <v>36.978700000000003</v>
      </c>
      <c r="N182" s="432"/>
      <c r="O182" s="433"/>
      <c r="P182" s="180" t="s">
        <v>2</v>
      </c>
      <c r="Q182" s="180" t="s">
        <v>4</v>
      </c>
      <c r="R182" s="167" t="s">
        <v>4</v>
      </c>
    </row>
    <row r="183" spans="1:18" x14ac:dyDescent="0.25">
      <c r="A183" s="393"/>
      <c r="B183" s="434">
        <v>4</v>
      </c>
      <c r="C183" s="436" t="s">
        <v>323</v>
      </c>
      <c r="D183" s="438" t="s">
        <v>324</v>
      </c>
      <c r="E183" s="440" t="s">
        <v>89</v>
      </c>
      <c r="F183" s="440" t="s">
        <v>19</v>
      </c>
      <c r="G183" s="442">
        <v>5.2</v>
      </c>
      <c r="H183" s="444">
        <v>7.86</v>
      </c>
      <c r="I183" s="440" t="s">
        <v>325</v>
      </c>
      <c r="J183" s="440" t="s">
        <v>317</v>
      </c>
      <c r="K183" s="469">
        <v>44964</v>
      </c>
      <c r="L183" s="202" t="s">
        <v>326</v>
      </c>
      <c r="M183" s="204">
        <v>36.6738</v>
      </c>
      <c r="N183" s="432" t="s">
        <v>438</v>
      </c>
      <c r="O183" s="433"/>
      <c r="P183" s="180" t="s">
        <v>2</v>
      </c>
      <c r="Q183" s="180" t="s">
        <v>4</v>
      </c>
      <c r="R183" s="167" t="s">
        <v>4</v>
      </c>
    </row>
    <row r="184" spans="1:18" x14ac:dyDescent="0.25">
      <c r="A184" s="393"/>
      <c r="B184" s="434"/>
      <c r="C184" s="436"/>
      <c r="D184" s="450"/>
      <c r="E184" s="440"/>
      <c r="F184" s="440"/>
      <c r="G184" s="442"/>
      <c r="H184" s="444"/>
      <c r="I184" s="440"/>
      <c r="J184" s="440"/>
      <c r="K184" s="469"/>
      <c r="L184" s="202" t="s">
        <v>327</v>
      </c>
      <c r="M184" s="204">
        <v>36.822899999999997</v>
      </c>
      <c r="N184" s="432"/>
      <c r="O184" s="433"/>
      <c r="P184" s="180" t="s">
        <v>2</v>
      </c>
      <c r="Q184" s="180" t="s">
        <v>4</v>
      </c>
      <c r="R184" s="167" t="s">
        <v>4</v>
      </c>
    </row>
    <row r="185" spans="1:18" x14ac:dyDescent="0.25">
      <c r="A185" s="393"/>
      <c r="B185" s="434">
        <v>5</v>
      </c>
      <c r="C185" s="436" t="s">
        <v>328</v>
      </c>
      <c r="D185" s="438" t="s">
        <v>315</v>
      </c>
      <c r="E185" s="440" t="s">
        <v>89</v>
      </c>
      <c r="F185" s="440" t="s">
        <v>19</v>
      </c>
      <c r="G185" s="442">
        <v>5.2</v>
      </c>
      <c r="H185" s="444">
        <v>7.86</v>
      </c>
      <c r="I185" s="440" t="s">
        <v>245</v>
      </c>
      <c r="J185" s="440" t="s">
        <v>317</v>
      </c>
      <c r="K185" s="469">
        <v>44964</v>
      </c>
      <c r="L185" s="202" t="s">
        <v>329</v>
      </c>
      <c r="M185" s="204">
        <v>36.707000000000001</v>
      </c>
      <c r="N185" s="432" t="s">
        <v>438</v>
      </c>
      <c r="O185" s="433"/>
      <c r="P185" s="180" t="s">
        <v>2</v>
      </c>
      <c r="Q185" s="180" t="s">
        <v>4</v>
      </c>
      <c r="R185" s="167" t="s">
        <v>4</v>
      </c>
    </row>
    <row r="186" spans="1:18" x14ac:dyDescent="0.25">
      <c r="A186" s="393"/>
      <c r="B186" s="434"/>
      <c r="C186" s="436"/>
      <c r="D186" s="450"/>
      <c r="E186" s="440"/>
      <c r="F186" s="440"/>
      <c r="G186" s="442"/>
      <c r="H186" s="444"/>
      <c r="I186" s="440"/>
      <c r="J186" s="440"/>
      <c r="K186" s="469"/>
      <c r="L186" s="202" t="s">
        <v>330</v>
      </c>
      <c r="M186" s="204">
        <v>36.769500000000001</v>
      </c>
      <c r="N186" s="432"/>
      <c r="O186" s="433"/>
      <c r="P186" s="180" t="s">
        <v>2</v>
      </c>
      <c r="Q186" s="180" t="s">
        <v>4</v>
      </c>
      <c r="R186" s="167" t="s">
        <v>4</v>
      </c>
    </row>
    <row r="187" spans="1:18" x14ac:dyDescent="0.25">
      <c r="A187" s="393"/>
      <c r="B187" s="434">
        <v>6</v>
      </c>
      <c r="C187" s="436" t="s">
        <v>331</v>
      </c>
      <c r="D187" s="438" t="s">
        <v>315</v>
      </c>
      <c r="E187" s="440" t="s">
        <v>89</v>
      </c>
      <c r="F187" s="440" t="s">
        <v>19</v>
      </c>
      <c r="G187" s="442">
        <v>5.2</v>
      </c>
      <c r="H187" s="444">
        <v>7.86</v>
      </c>
      <c r="I187" s="440" t="s">
        <v>219</v>
      </c>
      <c r="J187" s="440" t="s">
        <v>317</v>
      </c>
      <c r="K187" s="469">
        <v>44964</v>
      </c>
      <c r="L187" s="202" t="s">
        <v>332</v>
      </c>
      <c r="M187" s="204">
        <v>36.833300000000001</v>
      </c>
      <c r="N187" s="432" t="s">
        <v>438</v>
      </c>
      <c r="O187" s="433"/>
      <c r="P187" s="180" t="s">
        <v>2</v>
      </c>
      <c r="Q187" s="180" t="s">
        <v>4</v>
      </c>
      <c r="R187" s="167" t="s">
        <v>4</v>
      </c>
    </row>
    <row r="188" spans="1:18" ht="13.8" thickBot="1" x14ac:dyDescent="0.3">
      <c r="A188" s="393"/>
      <c r="B188" s="435"/>
      <c r="C188" s="437"/>
      <c r="D188" s="439"/>
      <c r="E188" s="440"/>
      <c r="F188" s="440"/>
      <c r="G188" s="442"/>
      <c r="H188" s="444"/>
      <c r="I188" s="440"/>
      <c r="J188" s="440"/>
      <c r="K188" s="469"/>
      <c r="L188" s="202" t="s">
        <v>333</v>
      </c>
      <c r="M188" s="204">
        <v>37.061</v>
      </c>
      <c r="N188" s="448"/>
      <c r="O188" s="449"/>
      <c r="P188" s="180" t="s">
        <v>2</v>
      </c>
      <c r="Q188" s="180" t="s">
        <v>4</v>
      </c>
      <c r="R188" s="167" t="s">
        <v>4</v>
      </c>
    </row>
    <row r="189" spans="1:18" ht="13.8" thickBot="1" x14ac:dyDescent="0.3">
      <c r="A189" s="393"/>
      <c r="B189" s="382" t="s">
        <v>334</v>
      </c>
      <c r="C189" s="383"/>
      <c r="D189" s="383"/>
      <c r="E189" s="383"/>
      <c r="F189" s="383"/>
      <c r="G189" s="383"/>
      <c r="H189" s="383"/>
      <c r="I189" s="383"/>
      <c r="J189" s="383"/>
      <c r="K189" s="383"/>
      <c r="L189" s="383"/>
      <c r="M189" s="383"/>
      <c r="N189" s="383"/>
      <c r="O189" s="384"/>
      <c r="P189" s="187"/>
      <c r="Q189" s="187"/>
      <c r="R189" s="187"/>
    </row>
    <row r="190" spans="1:18" x14ac:dyDescent="0.25">
      <c r="A190" s="393"/>
      <c r="B190" s="459">
        <v>7</v>
      </c>
      <c r="C190" s="460" t="s">
        <v>335</v>
      </c>
      <c r="D190" s="461" t="s">
        <v>310</v>
      </c>
      <c r="E190" s="462" t="s">
        <v>89</v>
      </c>
      <c r="F190" s="462" t="s">
        <v>19</v>
      </c>
      <c r="G190" s="463">
        <v>5.2</v>
      </c>
      <c r="H190" s="464">
        <v>7.86</v>
      </c>
      <c r="I190" s="462" t="s">
        <v>336</v>
      </c>
      <c r="J190" s="462" t="s">
        <v>14</v>
      </c>
      <c r="K190" s="469">
        <v>44963</v>
      </c>
      <c r="L190" s="213" t="s">
        <v>337</v>
      </c>
      <c r="M190" s="214">
        <v>36.957999999999998</v>
      </c>
      <c r="N190" s="465" t="s">
        <v>438</v>
      </c>
      <c r="O190" s="466"/>
      <c r="P190" s="180" t="s">
        <v>2</v>
      </c>
      <c r="Q190" s="180" t="s">
        <v>4</v>
      </c>
      <c r="R190" s="167" t="s">
        <v>4</v>
      </c>
    </row>
    <row r="191" spans="1:18" ht="13.8" thickBot="1" x14ac:dyDescent="0.3">
      <c r="A191" s="393"/>
      <c r="B191" s="435"/>
      <c r="C191" s="437"/>
      <c r="D191" s="439"/>
      <c r="E191" s="441"/>
      <c r="F191" s="441"/>
      <c r="G191" s="443"/>
      <c r="H191" s="445"/>
      <c r="I191" s="441"/>
      <c r="J191" s="441"/>
      <c r="K191" s="469"/>
      <c r="L191" s="207" t="s">
        <v>338</v>
      </c>
      <c r="M191" s="210">
        <v>37.049500000000002</v>
      </c>
      <c r="N191" s="448"/>
      <c r="O191" s="449"/>
      <c r="P191" s="180" t="s">
        <v>2</v>
      </c>
      <c r="Q191" s="180" t="s">
        <v>4</v>
      </c>
      <c r="R191" s="167" t="s">
        <v>4</v>
      </c>
    </row>
    <row r="192" spans="1:18" ht="13.8" thickBot="1" x14ac:dyDescent="0.3">
      <c r="A192" s="393"/>
      <c r="B192" s="382" t="s">
        <v>339</v>
      </c>
      <c r="C192" s="383"/>
      <c r="D192" s="383"/>
      <c r="E192" s="383"/>
      <c r="F192" s="383"/>
      <c r="G192" s="383"/>
      <c r="H192" s="383"/>
      <c r="I192" s="383"/>
      <c r="J192" s="383"/>
      <c r="K192" s="383"/>
      <c r="L192" s="383"/>
      <c r="M192" s="383"/>
      <c r="N192" s="383"/>
      <c r="O192" s="384"/>
      <c r="P192" s="187"/>
      <c r="Q192" s="187"/>
      <c r="R192" s="187"/>
    </row>
    <row r="193" spans="1:18" ht="25.8" thickBot="1" x14ac:dyDescent="0.3">
      <c r="A193" s="393"/>
      <c r="B193" s="215">
        <v>8</v>
      </c>
      <c r="C193" s="216" t="s">
        <v>340</v>
      </c>
      <c r="D193" s="217" t="s">
        <v>310</v>
      </c>
      <c r="E193" s="218" t="s">
        <v>341</v>
      </c>
      <c r="F193" s="219" t="s">
        <v>19</v>
      </c>
      <c r="G193" s="220">
        <v>2.5</v>
      </c>
      <c r="H193" s="221">
        <v>7.86</v>
      </c>
      <c r="I193" s="219" t="s">
        <v>342</v>
      </c>
      <c r="J193" s="219" t="s">
        <v>14</v>
      </c>
      <c r="K193" s="222">
        <v>44962</v>
      </c>
      <c r="L193" s="223" t="s">
        <v>343</v>
      </c>
      <c r="M193" s="224">
        <v>17.607399999999998</v>
      </c>
      <c r="N193" s="225" t="s">
        <v>439</v>
      </c>
      <c r="O193" s="226"/>
      <c r="P193" s="180" t="s">
        <v>2</v>
      </c>
      <c r="Q193" s="180" t="s">
        <v>4</v>
      </c>
      <c r="R193" s="167" t="s">
        <v>4</v>
      </c>
    </row>
    <row r="194" spans="1:18" x14ac:dyDescent="0.25">
      <c r="A194" s="393"/>
      <c r="B194" s="467">
        <v>9</v>
      </c>
      <c r="C194" s="468" t="s">
        <v>344</v>
      </c>
      <c r="D194" s="470" t="s">
        <v>310</v>
      </c>
      <c r="E194" s="458" t="s">
        <v>89</v>
      </c>
      <c r="F194" s="458" t="s">
        <v>19</v>
      </c>
      <c r="G194" s="471">
        <v>5.2</v>
      </c>
      <c r="H194" s="457">
        <v>7.86</v>
      </c>
      <c r="I194" s="458" t="s">
        <v>345</v>
      </c>
      <c r="J194" s="458" t="s">
        <v>14</v>
      </c>
      <c r="K194" s="431">
        <v>44962</v>
      </c>
      <c r="L194" s="227" t="s">
        <v>346</v>
      </c>
      <c r="M194" s="229">
        <v>37.093499999999999</v>
      </c>
      <c r="N194" s="473" t="s">
        <v>439</v>
      </c>
      <c r="O194" s="456"/>
      <c r="P194" s="180" t="s">
        <v>2</v>
      </c>
      <c r="Q194" s="180" t="s">
        <v>4</v>
      </c>
      <c r="R194" s="167" t="s">
        <v>4</v>
      </c>
    </row>
    <row r="195" spans="1:18" ht="13.8" thickBot="1" x14ac:dyDescent="0.3">
      <c r="A195" s="393"/>
      <c r="B195" s="435"/>
      <c r="C195" s="437"/>
      <c r="D195" s="439"/>
      <c r="E195" s="441"/>
      <c r="F195" s="441"/>
      <c r="G195" s="443"/>
      <c r="H195" s="445"/>
      <c r="I195" s="441"/>
      <c r="J195" s="441"/>
      <c r="K195" s="472"/>
      <c r="L195" s="207" t="s">
        <v>347</v>
      </c>
      <c r="M195" s="210">
        <v>36.755699999999997</v>
      </c>
      <c r="N195" s="448"/>
      <c r="O195" s="449"/>
      <c r="P195" s="180" t="s">
        <v>2</v>
      </c>
      <c r="Q195" s="180" t="s">
        <v>4</v>
      </c>
      <c r="R195" s="167" t="s">
        <v>4</v>
      </c>
    </row>
    <row r="196" spans="1:18" ht="13.8" thickBot="1" x14ac:dyDescent="0.3">
      <c r="A196" s="393"/>
      <c r="B196" s="382" t="s">
        <v>348</v>
      </c>
      <c r="C196" s="383"/>
      <c r="D196" s="383"/>
      <c r="E196" s="383"/>
      <c r="F196" s="383"/>
      <c r="G196" s="383"/>
      <c r="H196" s="383"/>
      <c r="I196" s="383"/>
      <c r="J196" s="383"/>
      <c r="K196" s="383"/>
      <c r="L196" s="383"/>
      <c r="M196" s="383"/>
      <c r="N196" s="383"/>
      <c r="O196" s="384"/>
      <c r="P196" s="187"/>
      <c r="Q196" s="187"/>
      <c r="R196" s="187"/>
    </row>
    <row r="197" spans="1:18" x14ac:dyDescent="0.25">
      <c r="A197" s="393"/>
      <c r="B197" s="434">
        <v>10</v>
      </c>
      <c r="C197" s="436" t="s">
        <v>349</v>
      </c>
      <c r="D197" s="438" t="s">
        <v>310</v>
      </c>
      <c r="E197" s="440" t="s">
        <v>89</v>
      </c>
      <c r="F197" s="440" t="s">
        <v>19</v>
      </c>
      <c r="G197" s="442">
        <v>5.2</v>
      </c>
      <c r="H197" s="444">
        <v>7.86</v>
      </c>
      <c r="I197" s="440" t="s">
        <v>350</v>
      </c>
      <c r="J197" s="440" t="s">
        <v>14</v>
      </c>
      <c r="K197" s="469">
        <v>44963</v>
      </c>
      <c r="L197" s="202" t="s">
        <v>351</v>
      </c>
      <c r="M197" s="204">
        <v>37.054900000000004</v>
      </c>
      <c r="N197" s="432" t="s">
        <v>439</v>
      </c>
      <c r="O197" s="433"/>
      <c r="P197" s="180" t="s">
        <v>2</v>
      </c>
      <c r="Q197" s="180" t="s">
        <v>4</v>
      </c>
      <c r="R197" s="167" t="s">
        <v>4</v>
      </c>
    </row>
    <row r="198" spans="1:18" x14ac:dyDescent="0.25">
      <c r="A198" s="393"/>
      <c r="B198" s="434"/>
      <c r="C198" s="436"/>
      <c r="D198" s="450"/>
      <c r="E198" s="440"/>
      <c r="F198" s="440"/>
      <c r="G198" s="442"/>
      <c r="H198" s="444"/>
      <c r="I198" s="440"/>
      <c r="J198" s="440"/>
      <c r="K198" s="469"/>
      <c r="L198" s="202" t="s">
        <v>352</v>
      </c>
      <c r="M198" s="204">
        <v>37.006100000000004</v>
      </c>
      <c r="N198" s="432"/>
      <c r="O198" s="433"/>
      <c r="P198" s="180" t="s">
        <v>2</v>
      </c>
      <c r="Q198" s="180" t="s">
        <v>4</v>
      </c>
      <c r="R198" s="167" t="s">
        <v>4</v>
      </c>
    </row>
    <row r="199" spans="1:18" ht="34.200000000000003" thickBot="1" x14ac:dyDescent="0.3">
      <c r="A199" s="393"/>
      <c r="B199" s="205">
        <v>11</v>
      </c>
      <c r="C199" s="206" t="s">
        <v>353</v>
      </c>
      <c r="D199" s="230" t="s">
        <v>310</v>
      </c>
      <c r="E199" s="231" t="s">
        <v>341</v>
      </c>
      <c r="F199" s="207" t="s">
        <v>19</v>
      </c>
      <c r="G199" s="208">
        <v>2.5</v>
      </c>
      <c r="H199" s="209">
        <v>7.86</v>
      </c>
      <c r="I199" s="232" t="s">
        <v>342</v>
      </c>
      <c r="J199" s="207" t="s">
        <v>14</v>
      </c>
      <c r="K199" s="228">
        <v>44961</v>
      </c>
      <c r="L199" s="232" t="s">
        <v>354</v>
      </c>
      <c r="M199" s="210">
        <v>17.378900000000002</v>
      </c>
      <c r="N199" s="211" t="s">
        <v>440</v>
      </c>
      <c r="O199" s="212"/>
      <c r="P199" s="180" t="s">
        <v>2</v>
      </c>
      <c r="Q199" s="180" t="s">
        <v>4</v>
      </c>
      <c r="R199" s="167" t="s">
        <v>4</v>
      </c>
    </row>
    <row r="200" spans="1:18" ht="13.8" thickBot="1" x14ac:dyDescent="0.3">
      <c r="A200" s="393"/>
      <c r="B200" s="382" t="s">
        <v>355</v>
      </c>
      <c r="C200" s="383"/>
      <c r="D200" s="383"/>
      <c r="E200" s="383"/>
      <c r="F200" s="383"/>
      <c r="G200" s="383"/>
      <c r="H200" s="383"/>
      <c r="I200" s="383"/>
      <c r="J200" s="383"/>
      <c r="K200" s="383"/>
      <c r="L200" s="383"/>
      <c r="M200" s="383"/>
      <c r="N200" s="383"/>
      <c r="O200" s="384"/>
      <c r="P200" s="187"/>
      <c r="Q200" s="187"/>
      <c r="R200" s="187"/>
    </row>
    <row r="201" spans="1:18" x14ac:dyDescent="0.25">
      <c r="A201" s="393"/>
      <c r="B201" s="434">
        <v>12</v>
      </c>
      <c r="C201" s="436" t="s">
        <v>356</v>
      </c>
      <c r="D201" s="438" t="s">
        <v>310</v>
      </c>
      <c r="E201" s="440" t="s">
        <v>89</v>
      </c>
      <c r="F201" s="440" t="s">
        <v>19</v>
      </c>
      <c r="G201" s="442">
        <v>5.2</v>
      </c>
      <c r="H201" s="444">
        <v>7.86</v>
      </c>
      <c r="I201" s="440" t="s">
        <v>88</v>
      </c>
      <c r="J201" s="440" t="s">
        <v>14</v>
      </c>
      <c r="K201" s="455">
        <v>44964</v>
      </c>
      <c r="L201" s="202" t="s">
        <v>357</v>
      </c>
      <c r="M201" s="204">
        <v>36.9542</v>
      </c>
      <c r="N201" s="432" t="s">
        <v>440</v>
      </c>
      <c r="O201" s="433"/>
      <c r="P201" s="180" t="s">
        <v>2</v>
      </c>
      <c r="Q201" s="180" t="s">
        <v>4</v>
      </c>
      <c r="R201" s="167" t="s">
        <v>4</v>
      </c>
    </row>
    <row r="202" spans="1:18" ht="13.8" thickBot="1" x14ac:dyDescent="0.3">
      <c r="A202" s="393"/>
      <c r="B202" s="435"/>
      <c r="C202" s="437"/>
      <c r="D202" s="439"/>
      <c r="E202" s="441"/>
      <c r="F202" s="441"/>
      <c r="G202" s="443"/>
      <c r="H202" s="445"/>
      <c r="I202" s="441"/>
      <c r="J202" s="441"/>
      <c r="K202" s="447"/>
      <c r="L202" s="207" t="s">
        <v>358</v>
      </c>
      <c r="M202" s="210">
        <v>36.801900000000003</v>
      </c>
      <c r="N202" s="448"/>
      <c r="O202" s="449"/>
      <c r="P202" s="180" t="s">
        <v>2</v>
      </c>
      <c r="Q202" s="180" t="s">
        <v>4</v>
      </c>
      <c r="R202" s="167" t="s">
        <v>4</v>
      </c>
    </row>
    <row r="203" spans="1:18" ht="13.8" thickBot="1" x14ac:dyDescent="0.3">
      <c r="A203" s="393"/>
      <c r="B203" s="382" t="s">
        <v>359</v>
      </c>
      <c r="C203" s="383"/>
      <c r="D203" s="383"/>
      <c r="E203" s="383"/>
      <c r="F203" s="383"/>
      <c r="G203" s="383"/>
      <c r="H203" s="383"/>
      <c r="I203" s="383"/>
      <c r="J203" s="383"/>
      <c r="K203" s="383"/>
      <c r="L203" s="383"/>
      <c r="M203" s="383"/>
      <c r="N203" s="383"/>
      <c r="O203" s="384"/>
      <c r="P203" s="187"/>
      <c r="Q203" s="187"/>
      <c r="R203" s="187"/>
    </row>
    <row r="204" spans="1:18" x14ac:dyDescent="0.25">
      <c r="A204" s="393"/>
      <c r="B204" s="467">
        <v>13</v>
      </c>
      <c r="C204" s="468" t="s">
        <v>360</v>
      </c>
      <c r="D204" s="438" t="s">
        <v>310</v>
      </c>
      <c r="E204" s="458" t="s">
        <v>89</v>
      </c>
      <c r="F204" s="458" t="s">
        <v>19</v>
      </c>
      <c r="G204" s="471">
        <v>5.2</v>
      </c>
      <c r="H204" s="457">
        <v>7.86</v>
      </c>
      <c r="I204" s="458" t="s">
        <v>361</v>
      </c>
      <c r="J204" s="458" t="s">
        <v>14</v>
      </c>
      <c r="K204" s="455">
        <v>44961</v>
      </c>
      <c r="L204" s="227" t="s">
        <v>362</v>
      </c>
      <c r="M204" s="229">
        <v>36.937899999999999</v>
      </c>
      <c r="N204" s="473" t="s">
        <v>440</v>
      </c>
      <c r="O204" s="456"/>
      <c r="P204" s="180" t="s">
        <v>2</v>
      </c>
      <c r="Q204" s="180" t="s">
        <v>4</v>
      </c>
      <c r="R204" s="167" t="s">
        <v>4</v>
      </c>
    </row>
    <row r="205" spans="1:18" ht="13.8" thickBot="1" x14ac:dyDescent="0.3">
      <c r="A205" s="393"/>
      <c r="B205" s="435"/>
      <c r="C205" s="437"/>
      <c r="D205" s="439"/>
      <c r="E205" s="441"/>
      <c r="F205" s="441"/>
      <c r="G205" s="443"/>
      <c r="H205" s="445"/>
      <c r="I205" s="441"/>
      <c r="J205" s="441"/>
      <c r="K205" s="447"/>
      <c r="L205" s="207" t="s">
        <v>363</v>
      </c>
      <c r="M205" s="210">
        <v>36.814999999999998</v>
      </c>
      <c r="N205" s="448"/>
      <c r="O205" s="449"/>
      <c r="P205" s="180" t="s">
        <v>2</v>
      </c>
      <c r="Q205" s="180" t="s">
        <v>4</v>
      </c>
      <c r="R205" s="167" t="s">
        <v>4</v>
      </c>
    </row>
    <row r="206" spans="1:18" ht="13.8" thickBot="1" x14ac:dyDescent="0.3">
      <c r="A206" s="393"/>
      <c r="B206" s="382" t="s">
        <v>364</v>
      </c>
      <c r="C206" s="383"/>
      <c r="D206" s="383"/>
      <c r="E206" s="383"/>
      <c r="F206" s="383"/>
      <c r="G206" s="383"/>
      <c r="H206" s="383"/>
      <c r="I206" s="383"/>
      <c r="J206" s="383"/>
      <c r="K206" s="383"/>
      <c r="L206" s="383"/>
      <c r="M206" s="383"/>
      <c r="N206" s="383"/>
      <c r="O206" s="384"/>
      <c r="P206" s="187"/>
      <c r="Q206" s="187"/>
      <c r="R206" s="187"/>
    </row>
    <row r="207" spans="1:18" x14ac:dyDescent="0.25">
      <c r="A207" s="393"/>
      <c r="B207" s="459">
        <v>14</v>
      </c>
      <c r="C207" s="460" t="s">
        <v>365</v>
      </c>
      <c r="D207" s="461" t="s">
        <v>315</v>
      </c>
      <c r="E207" s="462" t="s">
        <v>89</v>
      </c>
      <c r="F207" s="462" t="s">
        <v>19</v>
      </c>
      <c r="G207" s="463">
        <v>5.2</v>
      </c>
      <c r="H207" s="464">
        <v>7.86</v>
      </c>
      <c r="I207" s="462" t="s">
        <v>149</v>
      </c>
      <c r="J207" s="462" t="s">
        <v>317</v>
      </c>
      <c r="K207" s="455">
        <v>44958</v>
      </c>
      <c r="L207" s="213" t="s">
        <v>366</v>
      </c>
      <c r="M207" s="214">
        <v>37.031399999999998</v>
      </c>
      <c r="N207" s="465" t="s">
        <v>438</v>
      </c>
      <c r="O207" s="466"/>
      <c r="P207" s="180" t="s">
        <v>2</v>
      </c>
      <c r="Q207" s="180" t="s">
        <v>4</v>
      </c>
      <c r="R207" s="167" t="s">
        <v>4</v>
      </c>
    </row>
    <row r="208" spans="1:18" ht="13.8" thickBot="1" x14ac:dyDescent="0.3">
      <c r="A208" s="393"/>
      <c r="B208" s="434">
        <v>16</v>
      </c>
      <c r="C208" s="436"/>
      <c r="D208" s="450"/>
      <c r="E208" s="440"/>
      <c r="F208" s="440"/>
      <c r="G208" s="442"/>
      <c r="H208" s="444"/>
      <c r="I208" s="440"/>
      <c r="J208" s="440"/>
      <c r="K208" s="431"/>
      <c r="L208" s="202" t="s">
        <v>367</v>
      </c>
      <c r="M208" s="229">
        <v>36.589100000000002</v>
      </c>
      <c r="N208" s="432"/>
      <c r="O208" s="433"/>
      <c r="P208" s="180" t="s">
        <v>2</v>
      </c>
      <c r="Q208" s="180" t="s">
        <v>4</v>
      </c>
      <c r="R208" s="167" t="s">
        <v>4</v>
      </c>
    </row>
    <row r="209" spans="1:18" x14ac:dyDescent="0.25">
      <c r="A209" s="393"/>
      <c r="B209" s="467">
        <v>15</v>
      </c>
      <c r="C209" s="468" t="s">
        <v>368</v>
      </c>
      <c r="D209" s="470" t="s">
        <v>315</v>
      </c>
      <c r="E209" s="458" t="s">
        <v>89</v>
      </c>
      <c r="F209" s="458" t="s">
        <v>19</v>
      </c>
      <c r="G209" s="471">
        <v>5.2</v>
      </c>
      <c r="H209" s="457">
        <v>7.86</v>
      </c>
      <c r="I209" s="458" t="s">
        <v>149</v>
      </c>
      <c r="J209" s="458" t="s">
        <v>317</v>
      </c>
      <c r="K209" s="455">
        <v>44958</v>
      </c>
      <c r="L209" s="227" t="s">
        <v>369</v>
      </c>
      <c r="M209" s="229">
        <v>37.0503</v>
      </c>
      <c r="N209" s="473" t="s">
        <v>441</v>
      </c>
      <c r="O209" s="456"/>
      <c r="P209" s="180" t="s">
        <v>2</v>
      </c>
      <c r="Q209" s="180" t="s">
        <v>4</v>
      </c>
      <c r="R209" s="167" t="s">
        <v>4</v>
      </c>
    </row>
    <row r="210" spans="1:18" ht="13.8" thickBot="1" x14ac:dyDescent="0.3">
      <c r="A210" s="393"/>
      <c r="B210" s="434"/>
      <c r="C210" s="436"/>
      <c r="D210" s="450"/>
      <c r="E210" s="440"/>
      <c r="F210" s="440"/>
      <c r="G210" s="442"/>
      <c r="H210" s="444"/>
      <c r="I210" s="440"/>
      <c r="J210" s="440"/>
      <c r="K210" s="431"/>
      <c r="L210" s="202" t="s">
        <v>370</v>
      </c>
      <c r="M210" s="229">
        <v>36.589100000000002</v>
      </c>
      <c r="N210" s="432"/>
      <c r="O210" s="433"/>
      <c r="P210" s="180" t="s">
        <v>2</v>
      </c>
      <c r="Q210" s="180" t="s">
        <v>4</v>
      </c>
      <c r="R210" s="167" t="s">
        <v>4</v>
      </c>
    </row>
    <row r="211" spans="1:18" x14ac:dyDescent="0.25">
      <c r="A211" s="393"/>
      <c r="B211" s="434">
        <v>16</v>
      </c>
      <c r="C211" s="436" t="s">
        <v>371</v>
      </c>
      <c r="D211" s="438" t="s">
        <v>315</v>
      </c>
      <c r="E211" s="440" t="s">
        <v>89</v>
      </c>
      <c r="F211" s="440" t="s">
        <v>19</v>
      </c>
      <c r="G211" s="442">
        <v>5.2</v>
      </c>
      <c r="H211" s="444">
        <v>7.86</v>
      </c>
      <c r="I211" s="440" t="s">
        <v>245</v>
      </c>
      <c r="J211" s="440" t="s">
        <v>317</v>
      </c>
      <c r="K211" s="455">
        <v>44959</v>
      </c>
      <c r="L211" s="202" t="s">
        <v>372</v>
      </c>
      <c r="M211" s="204">
        <v>36.743099999999998</v>
      </c>
      <c r="N211" s="432" t="s">
        <v>441</v>
      </c>
      <c r="O211" s="433"/>
      <c r="P211" s="180" t="s">
        <v>2</v>
      </c>
      <c r="Q211" s="180" t="s">
        <v>4</v>
      </c>
      <c r="R211" s="167" t="s">
        <v>4</v>
      </c>
    </row>
    <row r="212" spans="1:18" x14ac:dyDescent="0.25">
      <c r="A212" s="393"/>
      <c r="B212" s="434"/>
      <c r="C212" s="436"/>
      <c r="D212" s="450"/>
      <c r="E212" s="440"/>
      <c r="F212" s="440"/>
      <c r="G212" s="442"/>
      <c r="H212" s="444"/>
      <c r="I212" s="440"/>
      <c r="J212" s="440"/>
      <c r="K212" s="431"/>
      <c r="L212" s="202" t="s">
        <v>373</v>
      </c>
      <c r="M212" s="204">
        <v>36.786200000000001</v>
      </c>
      <c r="N212" s="432"/>
      <c r="O212" s="433"/>
      <c r="P212" s="180" t="s">
        <v>2</v>
      </c>
      <c r="Q212" s="180" t="s">
        <v>4</v>
      </c>
      <c r="R212" s="167" t="s">
        <v>4</v>
      </c>
    </row>
    <row r="213" spans="1:18" x14ac:dyDescent="0.25">
      <c r="A213" s="393"/>
      <c r="B213" s="467">
        <v>17</v>
      </c>
      <c r="C213" s="468" t="s">
        <v>374</v>
      </c>
      <c r="D213" s="470" t="s">
        <v>315</v>
      </c>
      <c r="E213" s="458" t="s">
        <v>375</v>
      </c>
      <c r="F213" s="458" t="s">
        <v>375</v>
      </c>
      <c r="G213" s="471" t="s">
        <v>375</v>
      </c>
      <c r="H213" s="457" t="s">
        <v>375</v>
      </c>
      <c r="I213" s="458" t="s">
        <v>375</v>
      </c>
      <c r="J213" s="458" t="s">
        <v>375</v>
      </c>
      <c r="K213" s="458" t="s">
        <v>375</v>
      </c>
      <c r="L213" s="227" t="s">
        <v>375</v>
      </c>
      <c r="M213" s="229" t="s">
        <v>375</v>
      </c>
      <c r="N213" s="473" t="s">
        <v>442</v>
      </c>
      <c r="O213" s="456" t="s">
        <v>443</v>
      </c>
      <c r="P213" s="194" t="s">
        <v>123</v>
      </c>
      <c r="Q213" s="194" t="s">
        <v>124</v>
      </c>
      <c r="R213" s="194" t="s">
        <v>120</v>
      </c>
    </row>
    <row r="214" spans="1:18" x14ac:dyDescent="0.25">
      <c r="A214" s="393"/>
      <c r="B214" s="434"/>
      <c r="C214" s="436"/>
      <c r="D214" s="450"/>
      <c r="E214" s="440"/>
      <c r="F214" s="440"/>
      <c r="G214" s="442"/>
      <c r="H214" s="444"/>
      <c r="I214" s="440"/>
      <c r="J214" s="440"/>
      <c r="K214" s="440"/>
      <c r="L214" s="202" t="s">
        <v>375</v>
      </c>
      <c r="M214" s="204" t="s">
        <v>375</v>
      </c>
      <c r="N214" s="432"/>
      <c r="O214" s="433"/>
      <c r="P214" s="194" t="s">
        <v>123</v>
      </c>
      <c r="Q214" s="194" t="s">
        <v>124</v>
      </c>
      <c r="R214" s="194" t="s">
        <v>120</v>
      </c>
    </row>
    <row r="215" spans="1:18" x14ac:dyDescent="0.25">
      <c r="A215" s="393"/>
      <c r="B215" s="434">
        <v>18</v>
      </c>
      <c r="C215" s="436" t="s">
        <v>376</v>
      </c>
      <c r="D215" s="438" t="s">
        <v>315</v>
      </c>
      <c r="E215" s="440" t="s">
        <v>375</v>
      </c>
      <c r="F215" s="440" t="s">
        <v>375</v>
      </c>
      <c r="G215" s="442" t="s">
        <v>375</v>
      </c>
      <c r="H215" s="444" t="s">
        <v>375</v>
      </c>
      <c r="I215" s="440" t="s">
        <v>375</v>
      </c>
      <c r="J215" s="440" t="s">
        <v>375</v>
      </c>
      <c r="K215" s="440" t="s">
        <v>375</v>
      </c>
      <c r="L215" s="202" t="s">
        <v>375</v>
      </c>
      <c r="M215" s="204" t="s">
        <v>375</v>
      </c>
      <c r="N215" s="432" t="s">
        <v>442</v>
      </c>
      <c r="O215" s="433" t="s">
        <v>443</v>
      </c>
      <c r="P215" s="194" t="s">
        <v>123</v>
      </c>
      <c r="Q215" s="194" t="s">
        <v>124</v>
      </c>
      <c r="R215" s="194" t="s">
        <v>120</v>
      </c>
    </row>
    <row r="216" spans="1:18" ht="13.8" thickBot="1" x14ac:dyDescent="0.3">
      <c r="A216" s="393"/>
      <c r="B216" s="434"/>
      <c r="C216" s="436"/>
      <c r="D216" s="450"/>
      <c r="E216" s="440"/>
      <c r="F216" s="440"/>
      <c r="G216" s="442"/>
      <c r="H216" s="444"/>
      <c r="I216" s="440"/>
      <c r="J216" s="440"/>
      <c r="K216" s="440"/>
      <c r="L216" s="202" t="s">
        <v>375</v>
      </c>
      <c r="M216" s="204" t="s">
        <v>375</v>
      </c>
      <c r="N216" s="432"/>
      <c r="O216" s="433"/>
      <c r="P216" s="194" t="s">
        <v>123</v>
      </c>
      <c r="Q216" s="194" t="s">
        <v>124</v>
      </c>
      <c r="R216" s="194" t="s">
        <v>120</v>
      </c>
    </row>
    <row r="217" spans="1:18" x14ac:dyDescent="0.25">
      <c r="A217" s="393"/>
      <c r="B217" s="434">
        <v>19</v>
      </c>
      <c r="C217" s="436" t="s">
        <v>377</v>
      </c>
      <c r="D217" s="438" t="s">
        <v>315</v>
      </c>
      <c r="E217" s="440" t="s">
        <v>89</v>
      </c>
      <c r="F217" s="440" t="s">
        <v>19</v>
      </c>
      <c r="G217" s="442">
        <v>5.2</v>
      </c>
      <c r="H217" s="444">
        <v>7.86</v>
      </c>
      <c r="I217" s="440" t="s">
        <v>378</v>
      </c>
      <c r="J217" s="440" t="s">
        <v>317</v>
      </c>
      <c r="K217" s="455">
        <v>44959</v>
      </c>
      <c r="L217" s="202" t="s">
        <v>379</v>
      </c>
      <c r="M217" s="204">
        <v>36.759300000000003</v>
      </c>
      <c r="N217" s="432" t="s">
        <v>444</v>
      </c>
      <c r="O217" s="433"/>
      <c r="P217" s="180" t="s">
        <v>2</v>
      </c>
      <c r="Q217" s="180" t="s">
        <v>4</v>
      </c>
      <c r="R217" s="167" t="s">
        <v>4</v>
      </c>
    </row>
    <row r="218" spans="1:18" x14ac:dyDescent="0.25">
      <c r="A218" s="393"/>
      <c r="B218" s="434"/>
      <c r="C218" s="436"/>
      <c r="D218" s="450"/>
      <c r="E218" s="440"/>
      <c r="F218" s="440"/>
      <c r="G218" s="442"/>
      <c r="H218" s="444"/>
      <c r="I218" s="440"/>
      <c r="J218" s="440"/>
      <c r="K218" s="431"/>
      <c r="L218" s="202" t="s">
        <v>380</v>
      </c>
      <c r="M218" s="204">
        <v>36.958399999999997</v>
      </c>
      <c r="N218" s="432"/>
      <c r="O218" s="433"/>
      <c r="P218" s="180" t="s">
        <v>2</v>
      </c>
      <c r="Q218" s="180" t="s">
        <v>4</v>
      </c>
      <c r="R218" s="167" t="s">
        <v>4</v>
      </c>
    </row>
    <row r="219" spans="1:18" x14ac:dyDescent="0.25">
      <c r="A219" s="393"/>
      <c r="B219" s="434">
        <v>20</v>
      </c>
      <c r="C219" s="436" t="s">
        <v>381</v>
      </c>
      <c r="D219" s="438" t="s">
        <v>315</v>
      </c>
      <c r="E219" s="440" t="s">
        <v>375</v>
      </c>
      <c r="F219" s="440" t="s">
        <v>375</v>
      </c>
      <c r="G219" s="442" t="s">
        <v>375</v>
      </c>
      <c r="H219" s="444" t="s">
        <v>375</v>
      </c>
      <c r="I219" s="440" t="s">
        <v>375</v>
      </c>
      <c r="J219" s="440" t="s">
        <v>375</v>
      </c>
      <c r="K219" s="458" t="s">
        <v>375</v>
      </c>
      <c r="L219" s="202" t="s">
        <v>375</v>
      </c>
      <c r="M219" s="204" t="s">
        <v>375</v>
      </c>
      <c r="N219" s="432" t="s">
        <v>444</v>
      </c>
      <c r="O219" s="433" t="s">
        <v>445</v>
      </c>
      <c r="P219" s="194" t="s">
        <v>123</v>
      </c>
      <c r="Q219" s="194" t="s">
        <v>124</v>
      </c>
      <c r="R219" s="194" t="s">
        <v>120</v>
      </c>
    </row>
    <row r="220" spans="1:18" x14ac:dyDescent="0.25">
      <c r="A220" s="393"/>
      <c r="B220" s="434"/>
      <c r="C220" s="436"/>
      <c r="D220" s="450"/>
      <c r="E220" s="440"/>
      <c r="F220" s="440"/>
      <c r="G220" s="442"/>
      <c r="H220" s="444"/>
      <c r="I220" s="440"/>
      <c r="J220" s="440"/>
      <c r="K220" s="440"/>
      <c r="L220" s="202" t="s">
        <v>375</v>
      </c>
      <c r="M220" s="204" t="s">
        <v>375</v>
      </c>
      <c r="N220" s="432"/>
      <c r="O220" s="433"/>
      <c r="P220" s="194" t="s">
        <v>123</v>
      </c>
      <c r="Q220" s="194" t="s">
        <v>124</v>
      </c>
      <c r="R220" s="194" t="s">
        <v>120</v>
      </c>
    </row>
    <row r="221" spans="1:18" x14ac:dyDescent="0.25">
      <c r="A221" s="393"/>
      <c r="B221" s="451">
        <v>21</v>
      </c>
      <c r="C221" s="436" t="s">
        <v>382</v>
      </c>
      <c r="D221" s="438" t="s">
        <v>315</v>
      </c>
      <c r="E221" s="440" t="s">
        <v>375</v>
      </c>
      <c r="F221" s="440" t="s">
        <v>375</v>
      </c>
      <c r="G221" s="442" t="s">
        <v>375</v>
      </c>
      <c r="H221" s="444" t="s">
        <v>375</v>
      </c>
      <c r="I221" s="440" t="s">
        <v>375</v>
      </c>
      <c r="J221" s="440" t="s">
        <v>375</v>
      </c>
      <c r="K221" s="440" t="s">
        <v>375</v>
      </c>
      <c r="L221" s="202" t="s">
        <v>375</v>
      </c>
      <c r="M221" s="204" t="s">
        <v>375</v>
      </c>
      <c r="N221" s="432" t="s">
        <v>444</v>
      </c>
      <c r="O221" s="433" t="s">
        <v>443</v>
      </c>
      <c r="P221" s="194" t="s">
        <v>123</v>
      </c>
      <c r="Q221" s="194" t="s">
        <v>124</v>
      </c>
      <c r="R221" s="194" t="s">
        <v>120</v>
      </c>
    </row>
    <row r="222" spans="1:18" x14ac:dyDescent="0.25">
      <c r="A222" s="393"/>
      <c r="B222" s="467"/>
      <c r="C222" s="436"/>
      <c r="D222" s="450"/>
      <c r="E222" s="440"/>
      <c r="F222" s="440"/>
      <c r="G222" s="442"/>
      <c r="H222" s="444"/>
      <c r="I222" s="440"/>
      <c r="J222" s="440"/>
      <c r="K222" s="440"/>
      <c r="L222" s="202" t="s">
        <v>375</v>
      </c>
      <c r="M222" s="204" t="s">
        <v>375</v>
      </c>
      <c r="N222" s="432"/>
      <c r="O222" s="433"/>
      <c r="P222" s="194" t="s">
        <v>123</v>
      </c>
      <c r="Q222" s="194" t="s">
        <v>124</v>
      </c>
      <c r="R222" s="194" t="s">
        <v>120</v>
      </c>
    </row>
    <row r="223" spans="1:18" x14ac:dyDescent="0.25">
      <c r="A223" s="393"/>
      <c r="B223" s="434">
        <v>22</v>
      </c>
      <c r="C223" s="436" t="s">
        <v>383</v>
      </c>
      <c r="D223" s="438" t="s">
        <v>315</v>
      </c>
      <c r="E223" s="440" t="s">
        <v>375</v>
      </c>
      <c r="F223" s="440" t="s">
        <v>375</v>
      </c>
      <c r="G223" s="442" t="s">
        <v>375</v>
      </c>
      <c r="H223" s="444" t="s">
        <v>375</v>
      </c>
      <c r="I223" s="440" t="s">
        <v>375</v>
      </c>
      <c r="J223" s="440" t="s">
        <v>375</v>
      </c>
      <c r="K223" s="440" t="s">
        <v>375</v>
      </c>
      <c r="L223" s="202" t="s">
        <v>375</v>
      </c>
      <c r="M223" s="204" t="s">
        <v>375</v>
      </c>
      <c r="N223" s="432" t="s">
        <v>444</v>
      </c>
      <c r="O223" s="433" t="s">
        <v>443</v>
      </c>
      <c r="P223" s="194" t="s">
        <v>123</v>
      </c>
      <c r="Q223" s="194" t="s">
        <v>124</v>
      </c>
      <c r="R223" s="194" t="s">
        <v>120</v>
      </c>
    </row>
    <row r="224" spans="1:18" ht="13.8" thickBot="1" x14ac:dyDescent="0.3">
      <c r="A224" s="393"/>
      <c r="B224" s="434"/>
      <c r="C224" s="436"/>
      <c r="D224" s="450"/>
      <c r="E224" s="440"/>
      <c r="F224" s="440"/>
      <c r="G224" s="442"/>
      <c r="H224" s="444"/>
      <c r="I224" s="440"/>
      <c r="J224" s="440"/>
      <c r="K224" s="440"/>
      <c r="L224" s="202" t="s">
        <v>375</v>
      </c>
      <c r="M224" s="204" t="s">
        <v>375</v>
      </c>
      <c r="N224" s="432"/>
      <c r="O224" s="433"/>
      <c r="P224" s="194" t="s">
        <v>123</v>
      </c>
      <c r="Q224" s="194" t="s">
        <v>124</v>
      </c>
      <c r="R224" s="194" t="s">
        <v>120</v>
      </c>
    </row>
    <row r="225" spans="1:18" x14ac:dyDescent="0.25">
      <c r="A225" s="393"/>
      <c r="B225" s="434">
        <v>23</v>
      </c>
      <c r="C225" s="436" t="s">
        <v>384</v>
      </c>
      <c r="D225" s="438" t="s">
        <v>310</v>
      </c>
      <c r="E225" s="440" t="s">
        <v>89</v>
      </c>
      <c r="F225" s="440" t="s">
        <v>19</v>
      </c>
      <c r="G225" s="442">
        <v>5.2</v>
      </c>
      <c r="H225" s="444">
        <v>7.86</v>
      </c>
      <c r="I225" s="440" t="s">
        <v>219</v>
      </c>
      <c r="J225" s="440" t="s">
        <v>14</v>
      </c>
      <c r="K225" s="455">
        <v>44960</v>
      </c>
      <c r="L225" s="202" t="s">
        <v>385</v>
      </c>
      <c r="M225" s="204">
        <v>36.949100000000001</v>
      </c>
      <c r="N225" s="432" t="s">
        <v>438</v>
      </c>
      <c r="O225" s="433"/>
      <c r="P225" s="194" t="s">
        <v>123</v>
      </c>
      <c r="Q225" s="194" t="s">
        <v>124</v>
      </c>
      <c r="R225" s="194" t="s">
        <v>120</v>
      </c>
    </row>
    <row r="226" spans="1:18" x14ac:dyDescent="0.25">
      <c r="A226" s="393"/>
      <c r="B226" s="434"/>
      <c r="C226" s="436"/>
      <c r="D226" s="450"/>
      <c r="E226" s="440"/>
      <c r="F226" s="440"/>
      <c r="G226" s="442"/>
      <c r="H226" s="444"/>
      <c r="I226" s="440"/>
      <c r="J226" s="440"/>
      <c r="K226" s="431"/>
      <c r="L226" s="202" t="s">
        <v>386</v>
      </c>
      <c r="M226" s="204">
        <v>36.661200000000001</v>
      </c>
      <c r="N226" s="432"/>
      <c r="O226" s="433"/>
      <c r="P226" s="194" t="s">
        <v>123</v>
      </c>
      <c r="Q226" s="194" t="s">
        <v>124</v>
      </c>
      <c r="R226" s="194" t="s">
        <v>120</v>
      </c>
    </row>
    <row r="227" spans="1:18" x14ac:dyDescent="0.25">
      <c r="A227" s="393"/>
      <c r="B227" s="434">
        <v>24</v>
      </c>
      <c r="C227" s="436" t="s">
        <v>387</v>
      </c>
      <c r="D227" s="438" t="s">
        <v>310</v>
      </c>
      <c r="E227" s="440" t="s">
        <v>375</v>
      </c>
      <c r="F227" s="440" t="s">
        <v>375</v>
      </c>
      <c r="G227" s="442" t="s">
        <v>375</v>
      </c>
      <c r="H227" s="444" t="s">
        <v>375</v>
      </c>
      <c r="I227" s="440" t="s">
        <v>375</v>
      </c>
      <c r="J227" s="440" t="s">
        <v>375</v>
      </c>
      <c r="K227" s="440" t="s">
        <v>375</v>
      </c>
      <c r="L227" s="202" t="s">
        <v>375</v>
      </c>
      <c r="M227" s="204" t="s">
        <v>375</v>
      </c>
      <c r="N227" s="432" t="s">
        <v>438</v>
      </c>
      <c r="O227" s="433" t="s">
        <v>443</v>
      </c>
      <c r="P227" s="194" t="s">
        <v>123</v>
      </c>
      <c r="Q227" s="194" t="s">
        <v>124</v>
      </c>
      <c r="R227" s="194" t="s">
        <v>120</v>
      </c>
    </row>
    <row r="228" spans="1:18" ht="13.8" thickBot="1" x14ac:dyDescent="0.3">
      <c r="A228" s="393"/>
      <c r="B228" s="435"/>
      <c r="C228" s="437"/>
      <c r="D228" s="439"/>
      <c r="E228" s="441"/>
      <c r="F228" s="441"/>
      <c r="G228" s="443"/>
      <c r="H228" s="445"/>
      <c r="I228" s="441"/>
      <c r="J228" s="441"/>
      <c r="K228" s="441"/>
      <c r="L228" s="207" t="s">
        <v>375</v>
      </c>
      <c r="M228" s="210" t="s">
        <v>375</v>
      </c>
      <c r="N228" s="448"/>
      <c r="O228" s="449"/>
      <c r="P228" s="194" t="s">
        <v>123</v>
      </c>
      <c r="Q228" s="194" t="s">
        <v>124</v>
      </c>
      <c r="R228" s="194" t="s">
        <v>120</v>
      </c>
    </row>
    <row r="229" spans="1:18" x14ac:dyDescent="0.25">
      <c r="A229" s="393"/>
      <c r="B229" s="467">
        <v>25</v>
      </c>
      <c r="C229" s="468" t="s">
        <v>388</v>
      </c>
      <c r="D229" s="470" t="s">
        <v>310</v>
      </c>
      <c r="E229" s="458" t="s">
        <v>89</v>
      </c>
      <c r="F229" s="458" t="s">
        <v>19</v>
      </c>
      <c r="G229" s="471">
        <v>5.2</v>
      </c>
      <c r="H229" s="457">
        <v>7.86</v>
      </c>
      <c r="I229" s="458" t="s">
        <v>219</v>
      </c>
      <c r="J229" s="458" t="s">
        <v>14</v>
      </c>
      <c r="K229" s="455">
        <v>44960</v>
      </c>
      <c r="L229" s="227" t="s">
        <v>389</v>
      </c>
      <c r="M229" s="229">
        <v>37.015799999999999</v>
      </c>
      <c r="N229" s="473" t="s">
        <v>438</v>
      </c>
      <c r="O229" s="456"/>
      <c r="P229" s="180" t="s">
        <v>2</v>
      </c>
      <c r="Q229" s="180" t="s">
        <v>4</v>
      </c>
      <c r="R229" s="167" t="s">
        <v>4</v>
      </c>
    </row>
    <row r="230" spans="1:18" x14ac:dyDescent="0.25">
      <c r="A230" s="393"/>
      <c r="B230" s="434"/>
      <c r="C230" s="436"/>
      <c r="D230" s="450"/>
      <c r="E230" s="440"/>
      <c r="F230" s="440"/>
      <c r="G230" s="442"/>
      <c r="H230" s="444"/>
      <c r="I230" s="440"/>
      <c r="J230" s="440"/>
      <c r="K230" s="431"/>
      <c r="L230" s="202" t="s">
        <v>390</v>
      </c>
      <c r="M230" s="204">
        <v>36.930199999999999</v>
      </c>
      <c r="N230" s="432"/>
      <c r="O230" s="433"/>
      <c r="P230" s="180" t="s">
        <v>2</v>
      </c>
      <c r="Q230" s="180" t="s">
        <v>4</v>
      </c>
      <c r="R230" s="167" t="s">
        <v>4</v>
      </c>
    </row>
    <row r="231" spans="1:18" x14ac:dyDescent="0.25">
      <c r="A231" s="393"/>
      <c r="B231" s="434">
        <v>26</v>
      </c>
      <c r="C231" s="436" t="s">
        <v>391</v>
      </c>
      <c r="D231" s="438" t="s">
        <v>310</v>
      </c>
      <c r="E231" s="440" t="s">
        <v>89</v>
      </c>
      <c r="F231" s="440" t="s">
        <v>19</v>
      </c>
      <c r="G231" s="442">
        <v>5.2</v>
      </c>
      <c r="H231" s="444">
        <v>7.86</v>
      </c>
      <c r="I231" s="440" t="s">
        <v>188</v>
      </c>
      <c r="J231" s="440" t="s">
        <v>14</v>
      </c>
      <c r="K231" s="446">
        <v>44960</v>
      </c>
      <c r="L231" s="202" t="s">
        <v>392</v>
      </c>
      <c r="M231" s="204">
        <v>36.924199999999999</v>
      </c>
      <c r="N231" s="432" t="s">
        <v>438</v>
      </c>
      <c r="O231" s="433"/>
      <c r="P231" s="180" t="s">
        <v>2</v>
      </c>
      <c r="Q231" s="180" t="s">
        <v>4</v>
      </c>
      <c r="R231" s="167" t="s">
        <v>4</v>
      </c>
    </row>
    <row r="232" spans="1:18" x14ac:dyDescent="0.25">
      <c r="A232" s="393"/>
      <c r="B232" s="434"/>
      <c r="C232" s="436"/>
      <c r="D232" s="450"/>
      <c r="E232" s="440"/>
      <c r="F232" s="440"/>
      <c r="G232" s="442"/>
      <c r="H232" s="444"/>
      <c r="I232" s="440"/>
      <c r="J232" s="440"/>
      <c r="K232" s="431"/>
      <c r="L232" s="202" t="s">
        <v>393</v>
      </c>
      <c r="M232" s="204">
        <v>37.025199999999998</v>
      </c>
      <c r="N232" s="432"/>
      <c r="O232" s="433"/>
      <c r="P232" s="180" t="s">
        <v>2</v>
      </c>
      <c r="Q232" s="180" t="s">
        <v>4</v>
      </c>
      <c r="R232" s="167" t="s">
        <v>4</v>
      </c>
    </row>
    <row r="233" spans="1:18" x14ac:dyDescent="0.25">
      <c r="A233" s="393"/>
      <c r="B233" s="467">
        <v>27</v>
      </c>
      <c r="C233" s="468" t="s">
        <v>394</v>
      </c>
      <c r="D233" s="470" t="s">
        <v>395</v>
      </c>
      <c r="E233" s="458" t="s">
        <v>89</v>
      </c>
      <c r="F233" s="458" t="s">
        <v>19</v>
      </c>
      <c r="G233" s="471">
        <v>5.2</v>
      </c>
      <c r="H233" s="457">
        <v>7.86</v>
      </c>
      <c r="I233" s="458" t="s">
        <v>219</v>
      </c>
      <c r="J233" s="458" t="s">
        <v>317</v>
      </c>
      <c r="K233" s="430">
        <v>44960</v>
      </c>
      <c r="L233" s="227" t="s">
        <v>396</v>
      </c>
      <c r="M233" s="229">
        <v>36.741300000000003</v>
      </c>
      <c r="N233" s="473" t="s">
        <v>438</v>
      </c>
      <c r="O233" s="456"/>
      <c r="P233" s="180" t="s">
        <v>2</v>
      </c>
      <c r="Q233" s="180" t="s">
        <v>4</v>
      </c>
      <c r="R233" s="167" t="s">
        <v>4</v>
      </c>
    </row>
    <row r="234" spans="1:18" x14ac:dyDescent="0.25">
      <c r="A234" s="393"/>
      <c r="B234" s="434"/>
      <c r="C234" s="436"/>
      <c r="D234" s="450"/>
      <c r="E234" s="440"/>
      <c r="F234" s="440"/>
      <c r="G234" s="442"/>
      <c r="H234" s="444"/>
      <c r="I234" s="440"/>
      <c r="J234" s="440"/>
      <c r="K234" s="431"/>
      <c r="L234" s="202" t="s">
        <v>397</v>
      </c>
      <c r="M234" s="204">
        <v>37.948700000000002</v>
      </c>
      <c r="N234" s="432"/>
      <c r="O234" s="433"/>
      <c r="P234" s="180" t="s">
        <v>2</v>
      </c>
      <c r="Q234" s="180" t="s">
        <v>4</v>
      </c>
      <c r="R234" s="167" t="s">
        <v>4</v>
      </c>
    </row>
    <row r="235" spans="1:18" x14ac:dyDescent="0.25">
      <c r="A235" s="393"/>
      <c r="B235" s="434">
        <v>28</v>
      </c>
      <c r="C235" s="436" t="s">
        <v>398</v>
      </c>
      <c r="D235" s="438" t="s">
        <v>395</v>
      </c>
      <c r="E235" s="440" t="s">
        <v>375</v>
      </c>
      <c r="F235" s="440" t="s">
        <v>375</v>
      </c>
      <c r="G235" s="442" t="s">
        <v>375</v>
      </c>
      <c r="H235" s="444" t="s">
        <v>375</v>
      </c>
      <c r="I235" s="440" t="s">
        <v>375</v>
      </c>
      <c r="J235" s="440" t="s">
        <v>375</v>
      </c>
      <c r="K235" s="440" t="s">
        <v>375</v>
      </c>
      <c r="L235" s="202" t="s">
        <v>375</v>
      </c>
      <c r="M235" s="204" t="s">
        <v>375</v>
      </c>
      <c r="N235" s="432" t="s">
        <v>438</v>
      </c>
      <c r="O235" s="433" t="s">
        <v>446</v>
      </c>
      <c r="P235" s="194" t="s">
        <v>123</v>
      </c>
      <c r="Q235" s="194" t="s">
        <v>124</v>
      </c>
      <c r="R235" s="194" t="s">
        <v>120</v>
      </c>
    </row>
    <row r="236" spans="1:18" x14ac:dyDescent="0.25">
      <c r="A236" s="393"/>
      <c r="B236" s="434"/>
      <c r="C236" s="436"/>
      <c r="D236" s="450"/>
      <c r="E236" s="440"/>
      <c r="F236" s="440"/>
      <c r="G236" s="442"/>
      <c r="H236" s="444"/>
      <c r="I236" s="440"/>
      <c r="J236" s="440"/>
      <c r="K236" s="440"/>
      <c r="L236" s="202" t="s">
        <v>375</v>
      </c>
      <c r="M236" s="204" t="s">
        <v>375</v>
      </c>
      <c r="N236" s="432"/>
      <c r="O236" s="433"/>
      <c r="P236" s="194" t="s">
        <v>123</v>
      </c>
      <c r="Q236" s="194" t="s">
        <v>124</v>
      </c>
      <c r="R236" s="194" t="s">
        <v>120</v>
      </c>
    </row>
    <row r="237" spans="1:18" x14ac:dyDescent="0.25">
      <c r="A237" s="393"/>
      <c r="B237" s="434">
        <v>29</v>
      </c>
      <c r="C237" s="436" t="s">
        <v>399</v>
      </c>
      <c r="D237" s="438" t="s">
        <v>315</v>
      </c>
      <c r="E237" s="440" t="s">
        <v>375</v>
      </c>
      <c r="F237" s="440" t="s">
        <v>375</v>
      </c>
      <c r="G237" s="442" t="s">
        <v>375</v>
      </c>
      <c r="H237" s="444" t="s">
        <v>375</v>
      </c>
      <c r="I237" s="440" t="s">
        <v>375</v>
      </c>
      <c r="J237" s="440" t="s">
        <v>375</v>
      </c>
      <c r="K237" s="440" t="s">
        <v>375</v>
      </c>
      <c r="L237" s="202" t="s">
        <v>375</v>
      </c>
      <c r="M237" s="204" t="s">
        <v>375</v>
      </c>
      <c r="N237" s="432" t="s">
        <v>438</v>
      </c>
      <c r="O237" s="433" t="s">
        <v>443</v>
      </c>
      <c r="P237" s="194" t="s">
        <v>123</v>
      </c>
      <c r="Q237" s="194" t="s">
        <v>124</v>
      </c>
      <c r="R237" s="194" t="s">
        <v>120</v>
      </c>
    </row>
    <row r="238" spans="1:18" x14ac:dyDescent="0.25">
      <c r="A238" s="393"/>
      <c r="B238" s="434"/>
      <c r="C238" s="436"/>
      <c r="D238" s="450"/>
      <c r="E238" s="440"/>
      <c r="F238" s="440"/>
      <c r="G238" s="442"/>
      <c r="H238" s="444"/>
      <c r="I238" s="440"/>
      <c r="J238" s="440"/>
      <c r="K238" s="440"/>
      <c r="L238" s="202" t="s">
        <v>375</v>
      </c>
      <c r="M238" s="204" t="s">
        <v>375</v>
      </c>
      <c r="N238" s="432"/>
      <c r="O238" s="433"/>
      <c r="P238" s="194" t="s">
        <v>123</v>
      </c>
      <c r="Q238" s="194" t="s">
        <v>124</v>
      </c>
      <c r="R238" s="194" t="s">
        <v>120</v>
      </c>
    </row>
    <row r="239" spans="1:18" x14ac:dyDescent="0.25">
      <c r="A239" s="393"/>
      <c r="B239" s="434">
        <v>30</v>
      </c>
      <c r="C239" s="436" t="s">
        <v>400</v>
      </c>
      <c r="D239" s="438" t="s">
        <v>315</v>
      </c>
      <c r="E239" s="440" t="s">
        <v>375</v>
      </c>
      <c r="F239" s="440" t="s">
        <v>375</v>
      </c>
      <c r="G239" s="442" t="s">
        <v>375</v>
      </c>
      <c r="H239" s="444" t="s">
        <v>375</v>
      </c>
      <c r="I239" s="440" t="s">
        <v>375</v>
      </c>
      <c r="J239" s="440" t="s">
        <v>375</v>
      </c>
      <c r="K239" s="440" t="s">
        <v>375</v>
      </c>
      <c r="L239" s="202" t="s">
        <v>375</v>
      </c>
      <c r="M239" s="204" t="s">
        <v>375</v>
      </c>
      <c r="N239" s="432" t="s">
        <v>438</v>
      </c>
      <c r="O239" s="433" t="s">
        <v>447</v>
      </c>
      <c r="P239" s="194" t="s">
        <v>123</v>
      </c>
      <c r="Q239" s="194" t="s">
        <v>124</v>
      </c>
      <c r="R239" s="194" t="s">
        <v>120</v>
      </c>
    </row>
    <row r="240" spans="1:18" ht="13.8" thickBot="1" x14ac:dyDescent="0.3">
      <c r="A240" s="393"/>
      <c r="B240" s="434"/>
      <c r="C240" s="436"/>
      <c r="D240" s="450"/>
      <c r="E240" s="440"/>
      <c r="F240" s="440"/>
      <c r="G240" s="442"/>
      <c r="H240" s="444"/>
      <c r="I240" s="440"/>
      <c r="J240" s="440"/>
      <c r="K240" s="440"/>
      <c r="L240" s="202" t="s">
        <v>375</v>
      </c>
      <c r="M240" s="204" t="s">
        <v>375</v>
      </c>
      <c r="N240" s="432"/>
      <c r="O240" s="433"/>
      <c r="P240" s="194" t="s">
        <v>123</v>
      </c>
      <c r="Q240" s="194" t="s">
        <v>124</v>
      </c>
      <c r="R240" s="194" t="s">
        <v>120</v>
      </c>
    </row>
    <row r="241" spans="1:18" x14ac:dyDescent="0.25">
      <c r="A241" s="393"/>
      <c r="B241" s="434">
        <v>31</v>
      </c>
      <c r="C241" s="436" t="s">
        <v>401</v>
      </c>
      <c r="D241" s="438" t="s">
        <v>315</v>
      </c>
      <c r="E241" s="440" t="s">
        <v>89</v>
      </c>
      <c r="F241" s="440" t="s">
        <v>19</v>
      </c>
      <c r="G241" s="442">
        <v>5.2</v>
      </c>
      <c r="H241" s="444">
        <v>7.86</v>
      </c>
      <c r="I241" s="440" t="s">
        <v>188</v>
      </c>
      <c r="J241" s="440" t="s">
        <v>317</v>
      </c>
      <c r="K241" s="455">
        <v>44959</v>
      </c>
      <c r="L241" s="202" t="s">
        <v>402</v>
      </c>
      <c r="M241" s="204">
        <v>36.922899999999998</v>
      </c>
      <c r="N241" s="432" t="s">
        <v>444</v>
      </c>
      <c r="O241" s="456"/>
      <c r="P241" s="194" t="s">
        <v>123</v>
      </c>
      <c r="Q241" s="194" t="s">
        <v>124</v>
      </c>
      <c r="R241" s="194" t="s">
        <v>120</v>
      </c>
    </row>
    <row r="242" spans="1:18" ht="13.8" thickBot="1" x14ac:dyDescent="0.3">
      <c r="A242" s="393"/>
      <c r="B242" s="435"/>
      <c r="C242" s="437"/>
      <c r="D242" s="450"/>
      <c r="E242" s="441"/>
      <c r="F242" s="441"/>
      <c r="G242" s="443"/>
      <c r="H242" s="445"/>
      <c r="I242" s="441"/>
      <c r="J242" s="441"/>
      <c r="K242" s="431"/>
      <c r="L242" s="207" t="s">
        <v>403</v>
      </c>
      <c r="M242" s="210">
        <v>36.974600000000002</v>
      </c>
      <c r="N242" s="448"/>
      <c r="O242" s="449"/>
      <c r="P242" s="194" t="s">
        <v>123</v>
      </c>
      <c r="Q242" s="194" t="s">
        <v>124</v>
      </c>
      <c r="R242" s="194" t="s">
        <v>120</v>
      </c>
    </row>
    <row r="243" spans="1:18" ht="13.8" thickBot="1" x14ac:dyDescent="0.3">
      <c r="A243" s="393"/>
      <c r="B243" s="382" t="s">
        <v>404</v>
      </c>
      <c r="C243" s="383"/>
      <c r="D243" s="383"/>
      <c r="E243" s="383"/>
      <c r="F243" s="383"/>
      <c r="G243" s="383"/>
      <c r="H243" s="383"/>
      <c r="I243" s="383"/>
      <c r="J243" s="383"/>
      <c r="K243" s="383"/>
      <c r="L243" s="383"/>
      <c r="M243" s="383"/>
      <c r="N243" s="383"/>
      <c r="O243" s="384"/>
      <c r="P243" s="187"/>
      <c r="Q243" s="187"/>
      <c r="R243" s="187"/>
    </row>
    <row r="244" spans="1:18" x14ac:dyDescent="0.25">
      <c r="A244" s="393"/>
      <c r="B244" s="434">
        <v>32</v>
      </c>
      <c r="C244" s="436" t="s">
        <v>405</v>
      </c>
      <c r="D244" s="438" t="s">
        <v>310</v>
      </c>
      <c r="E244" s="440" t="s">
        <v>89</v>
      </c>
      <c r="F244" s="440" t="s">
        <v>19</v>
      </c>
      <c r="G244" s="442">
        <v>5.2</v>
      </c>
      <c r="H244" s="444">
        <v>7.86</v>
      </c>
      <c r="I244" s="440" t="s">
        <v>406</v>
      </c>
      <c r="J244" s="440" t="s">
        <v>271</v>
      </c>
      <c r="K244" s="455">
        <v>44958</v>
      </c>
      <c r="L244" s="203" t="s">
        <v>407</v>
      </c>
      <c r="M244" s="204">
        <v>36.9754</v>
      </c>
      <c r="N244" s="432" t="s">
        <v>438</v>
      </c>
      <c r="O244" s="453"/>
      <c r="P244" s="180" t="s">
        <v>2</v>
      </c>
      <c r="Q244" s="180" t="s">
        <v>4</v>
      </c>
      <c r="R244" s="167" t="s">
        <v>4</v>
      </c>
    </row>
    <row r="245" spans="1:18" x14ac:dyDescent="0.25">
      <c r="A245" s="393"/>
      <c r="B245" s="434"/>
      <c r="C245" s="436"/>
      <c r="D245" s="450"/>
      <c r="E245" s="440"/>
      <c r="F245" s="440"/>
      <c r="G245" s="442"/>
      <c r="H245" s="444"/>
      <c r="I245" s="440"/>
      <c r="J245" s="440"/>
      <c r="K245" s="431"/>
      <c r="L245" s="203" t="s">
        <v>408</v>
      </c>
      <c r="M245" s="204">
        <v>36.766500000000001</v>
      </c>
      <c r="N245" s="432"/>
      <c r="O245" s="453"/>
      <c r="P245" s="180" t="s">
        <v>2</v>
      </c>
      <c r="Q245" s="180" t="s">
        <v>4</v>
      </c>
      <c r="R245" s="167" t="s">
        <v>4</v>
      </c>
    </row>
    <row r="246" spans="1:18" x14ac:dyDescent="0.25">
      <c r="A246" s="393"/>
      <c r="B246" s="451">
        <v>33</v>
      </c>
      <c r="C246" s="436" t="s">
        <v>409</v>
      </c>
      <c r="D246" s="438" t="s">
        <v>310</v>
      </c>
      <c r="E246" s="440" t="s">
        <v>89</v>
      </c>
      <c r="F246" s="440" t="s">
        <v>19</v>
      </c>
      <c r="G246" s="442">
        <v>5.2</v>
      </c>
      <c r="H246" s="444">
        <v>7.86</v>
      </c>
      <c r="I246" s="440" t="s">
        <v>219</v>
      </c>
      <c r="J246" s="440" t="s">
        <v>14</v>
      </c>
      <c r="K246" s="430">
        <v>44958</v>
      </c>
      <c r="L246" s="203" t="s">
        <v>410</v>
      </c>
      <c r="M246" s="204">
        <v>36.917299999999997</v>
      </c>
      <c r="N246" s="432" t="s">
        <v>438</v>
      </c>
      <c r="O246" s="453"/>
      <c r="P246" s="180" t="s">
        <v>2</v>
      </c>
      <c r="Q246" s="180" t="s">
        <v>4</v>
      </c>
      <c r="R246" s="167" t="s">
        <v>4</v>
      </c>
    </row>
    <row r="247" spans="1:18" ht="13.8" thickBot="1" x14ac:dyDescent="0.3">
      <c r="A247" s="393"/>
      <c r="B247" s="452"/>
      <c r="C247" s="437"/>
      <c r="D247" s="439"/>
      <c r="E247" s="441"/>
      <c r="F247" s="441"/>
      <c r="G247" s="443"/>
      <c r="H247" s="445"/>
      <c r="I247" s="441"/>
      <c r="J247" s="441"/>
      <c r="K247" s="431"/>
      <c r="L247" s="203" t="s">
        <v>411</v>
      </c>
      <c r="M247" s="210">
        <v>37.0122</v>
      </c>
      <c r="N247" s="448"/>
      <c r="O247" s="454"/>
      <c r="P247" s="180" t="s">
        <v>2</v>
      </c>
      <c r="Q247" s="180" t="s">
        <v>4</v>
      </c>
      <c r="R247" s="167" t="s">
        <v>4</v>
      </c>
    </row>
    <row r="248" spans="1:18" ht="13.8" thickBot="1" x14ac:dyDescent="0.3">
      <c r="A248" s="393"/>
      <c r="B248" s="382" t="s">
        <v>412</v>
      </c>
      <c r="C248" s="383"/>
      <c r="D248" s="383"/>
      <c r="E248" s="383"/>
      <c r="F248" s="383"/>
      <c r="G248" s="383"/>
      <c r="H248" s="383"/>
      <c r="I248" s="383"/>
      <c r="J248" s="383"/>
      <c r="K248" s="383"/>
      <c r="L248" s="383"/>
      <c r="M248" s="383"/>
      <c r="N248" s="383"/>
      <c r="O248" s="384"/>
      <c r="P248" s="187"/>
      <c r="Q248" s="187"/>
      <c r="R248" s="187"/>
    </row>
    <row r="249" spans="1:18" x14ac:dyDescent="0.25">
      <c r="A249" s="393"/>
      <c r="B249" s="434">
        <v>34</v>
      </c>
      <c r="C249" s="436" t="s">
        <v>413</v>
      </c>
      <c r="D249" s="438" t="s">
        <v>310</v>
      </c>
      <c r="E249" s="440" t="s">
        <v>89</v>
      </c>
      <c r="F249" s="440" t="s">
        <v>19</v>
      </c>
      <c r="G249" s="442">
        <v>5.2</v>
      </c>
      <c r="H249" s="444">
        <v>7.86</v>
      </c>
      <c r="I249" s="440" t="s">
        <v>325</v>
      </c>
      <c r="J249" s="440" t="s">
        <v>14</v>
      </c>
      <c r="K249" s="430">
        <v>44966</v>
      </c>
      <c r="L249" s="202" t="s">
        <v>414</v>
      </c>
      <c r="M249" s="204">
        <v>36.947299999999998</v>
      </c>
      <c r="N249" s="432" t="s">
        <v>438</v>
      </c>
      <c r="O249" s="433"/>
      <c r="P249" s="180" t="s">
        <v>2</v>
      </c>
      <c r="Q249" s="180" t="s">
        <v>4</v>
      </c>
      <c r="R249" s="167" t="s">
        <v>4</v>
      </c>
    </row>
    <row r="250" spans="1:18" x14ac:dyDescent="0.25">
      <c r="A250" s="393"/>
      <c r="B250" s="434"/>
      <c r="C250" s="436"/>
      <c r="D250" s="450"/>
      <c r="E250" s="440"/>
      <c r="F250" s="440"/>
      <c r="G250" s="442"/>
      <c r="H250" s="444"/>
      <c r="I250" s="440"/>
      <c r="J250" s="440"/>
      <c r="K250" s="431"/>
      <c r="L250" s="202" t="s">
        <v>415</v>
      </c>
      <c r="M250" s="204">
        <v>36.794899999999998</v>
      </c>
      <c r="N250" s="432"/>
      <c r="O250" s="433"/>
      <c r="P250" s="180" t="s">
        <v>2</v>
      </c>
      <c r="Q250" s="180" t="s">
        <v>4</v>
      </c>
      <c r="R250" s="167" t="s">
        <v>4</v>
      </c>
    </row>
    <row r="251" spans="1:18" x14ac:dyDescent="0.25">
      <c r="A251" s="393"/>
      <c r="B251" s="434">
        <v>35</v>
      </c>
      <c r="C251" s="436" t="s">
        <v>416</v>
      </c>
      <c r="D251" s="438" t="s">
        <v>310</v>
      </c>
      <c r="E251" s="440" t="s">
        <v>89</v>
      </c>
      <c r="F251" s="440" t="s">
        <v>19</v>
      </c>
      <c r="G251" s="442">
        <v>5.2</v>
      </c>
      <c r="H251" s="444">
        <v>7.86</v>
      </c>
      <c r="I251" s="440" t="s">
        <v>417</v>
      </c>
      <c r="J251" s="440" t="s">
        <v>14</v>
      </c>
      <c r="K251" s="430">
        <v>44966</v>
      </c>
      <c r="L251" s="202" t="s">
        <v>418</v>
      </c>
      <c r="M251" s="204">
        <v>36.946300000000001</v>
      </c>
      <c r="N251" s="432" t="s">
        <v>444</v>
      </c>
      <c r="O251" s="433"/>
      <c r="P251" s="180" t="s">
        <v>2</v>
      </c>
      <c r="Q251" s="180" t="s">
        <v>4</v>
      </c>
      <c r="R251" s="167" t="s">
        <v>4</v>
      </c>
    </row>
    <row r="252" spans="1:18" ht="13.8" thickBot="1" x14ac:dyDescent="0.3">
      <c r="A252" s="393"/>
      <c r="B252" s="435"/>
      <c r="C252" s="437"/>
      <c r="D252" s="439"/>
      <c r="E252" s="441"/>
      <c r="F252" s="441"/>
      <c r="G252" s="443"/>
      <c r="H252" s="445"/>
      <c r="I252" s="441"/>
      <c r="J252" s="441"/>
      <c r="K252" s="431"/>
      <c r="L252" s="207" t="s">
        <v>419</v>
      </c>
      <c r="M252" s="210">
        <v>36.796300000000002</v>
      </c>
      <c r="N252" s="448"/>
      <c r="O252" s="449"/>
      <c r="P252" s="180" t="s">
        <v>2</v>
      </c>
      <c r="Q252" s="180" t="s">
        <v>4</v>
      </c>
      <c r="R252" s="167" t="s">
        <v>4</v>
      </c>
    </row>
    <row r="253" spans="1:18" ht="13.8" thickBot="1" x14ac:dyDescent="0.3">
      <c r="A253" s="393"/>
      <c r="B253" s="382" t="s">
        <v>420</v>
      </c>
      <c r="C253" s="383"/>
      <c r="D253" s="383"/>
      <c r="E253" s="383"/>
      <c r="F253" s="383"/>
      <c r="G253" s="383"/>
      <c r="H253" s="383"/>
      <c r="I253" s="383"/>
      <c r="J253" s="383"/>
      <c r="K253" s="383"/>
      <c r="L253" s="383"/>
      <c r="M253" s="383"/>
      <c r="N253" s="383"/>
      <c r="O253" s="384"/>
      <c r="P253" s="187"/>
      <c r="Q253" s="187"/>
      <c r="R253" s="187"/>
    </row>
    <row r="254" spans="1:18" x14ac:dyDescent="0.25">
      <c r="A254" s="393"/>
      <c r="B254" s="434">
        <v>36</v>
      </c>
      <c r="C254" s="436" t="s">
        <v>421</v>
      </c>
      <c r="D254" s="438" t="s">
        <v>310</v>
      </c>
      <c r="E254" s="440" t="s">
        <v>89</v>
      </c>
      <c r="F254" s="440" t="s">
        <v>19</v>
      </c>
      <c r="G254" s="442">
        <v>5.2</v>
      </c>
      <c r="H254" s="444">
        <v>7.86</v>
      </c>
      <c r="I254" s="440" t="s">
        <v>287</v>
      </c>
      <c r="J254" s="440" t="s">
        <v>271</v>
      </c>
      <c r="K254" s="430">
        <v>44965</v>
      </c>
      <c r="L254" s="202" t="s">
        <v>422</v>
      </c>
      <c r="M254" s="204">
        <v>37.017899999999997</v>
      </c>
      <c r="N254" s="432" t="s">
        <v>438</v>
      </c>
      <c r="O254" s="433"/>
      <c r="P254" s="180" t="s">
        <v>2</v>
      </c>
      <c r="Q254" s="180" t="s">
        <v>4</v>
      </c>
      <c r="R254" s="167" t="s">
        <v>4</v>
      </c>
    </row>
    <row r="255" spans="1:18" x14ac:dyDescent="0.25">
      <c r="A255" s="393"/>
      <c r="B255" s="434"/>
      <c r="C255" s="436"/>
      <c r="D255" s="450"/>
      <c r="E255" s="440"/>
      <c r="F255" s="440"/>
      <c r="G255" s="442"/>
      <c r="H255" s="444"/>
      <c r="I255" s="440"/>
      <c r="J255" s="440"/>
      <c r="K255" s="431"/>
      <c r="L255" s="202" t="s">
        <v>423</v>
      </c>
      <c r="M255" s="204">
        <v>36.9285</v>
      </c>
      <c r="N255" s="432"/>
      <c r="O255" s="433"/>
      <c r="P255" s="180" t="s">
        <v>2</v>
      </c>
      <c r="Q255" s="180" t="s">
        <v>4</v>
      </c>
      <c r="R255" s="167" t="s">
        <v>4</v>
      </c>
    </row>
    <row r="256" spans="1:18" x14ac:dyDescent="0.25">
      <c r="A256" s="393"/>
      <c r="B256" s="434">
        <v>37</v>
      </c>
      <c r="C256" s="436" t="s">
        <v>424</v>
      </c>
      <c r="D256" s="438" t="s">
        <v>310</v>
      </c>
      <c r="E256" s="440" t="s">
        <v>375</v>
      </c>
      <c r="F256" s="440" t="s">
        <v>375</v>
      </c>
      <c r="G256" s="442" t="s">
        <v>375</v>
      </c>
      <c r="H256" s="444" t="s">
        <v>375</v>
      </c>
      <c r="I256" s="440" t="s">
        <v>375</v>
      </c>
      <c r="J256" s="440" t="s">
        <v>375</v>
      </c>
      <c r="K256" s="440" t="s">
        <v>375</v>
      </c>
      <c r="L256" s="202" t="s">
        <v>375</v>
      </c>
      <c r="M256" s="204" t="s">
        <v>375</v>
      </c>
      <c r="N256" s="432" t="s">
        <v>438</v>
      </c>
      <c r="O256" s="433" t="s">
        <v>445</v>
      </c>
      <c r="P256" s="194" t="s">
        <v>123</v>
      </c>
      <c r="Q256" s="194" t="s">
        <v>124</v>
      </c>
      <c r="R256" s="194" t="s">
        <v>120</v>
      </c>
    </row>
    <row r="257" spans="1:18" x14ac:dyDescent="0.25">
      <c r="A257" s="393"/>
      <c r="B257" s="434"/>
      <c r="C257" s="436"/>
      <c r="D257" s="450"/>
      <c r="E257" s="440"/>
      <c r="F257" s="440"/>
      <c r="G257" s="442"/>
      <c r="H257" s="444"/>
      <c r="I257" s="440"/>
      <c r="J257" s="440"/>
      <c r="K257" s="440"/>
      <c r="L257" s="202" t="s">
        <v>375</v>
      </c>
      <c r="M257" s="204" t="s">
        <v>375</v>
      </c>
      <c r="N257" s="432"/>
      <c r="O257" s="433"/>
      <c r="P257" s="194" t="s">
        <v>123</v>
      </c>
      <c r="Q257" s="194" t="s">
        <v>124</v>
      </c>
      <c r="R257" s="194" t="s">
        <v>120</v>
      </c>
    </row>
    <row r="258" spans="1:18" x14ac:dyDescent="0.25">
      <c r="A258" s="393"/>
      <c r="B258" s="434">
        <v>38</v>
      </c>
      <c r="C258" s="436" t="s">
        <v>425</v>
      </c>
      <c r="D258" s="438" t="s">
        <v>310</v>
      </c>
      <c r="E258" s="440" t="s">
        <v>89</v>
      </c>
      <c r="F258" s="440" t="s">
        <v>19</v>
      </c>
      <c r="G258" s="442">
        <v>5.2</v>
      </c>
      <c r="H258" s="444">
        <v>7.86</v>
      </c>
      <c r="I258" s="440" t="s">
        <v>316</v>
      </c>
      <c r="J258" s="440" t="s">
        <v>271</v>
      </c>
      <c r="K258" s="430">
        <v>44965</v>
      </c>
      <c r="L258" s="202" t="s">
        <v>426</v>
      </c>
      <c r="M258" s="204">
        <v>36.732799999999997</v>
      </c>
      <c r="N258" s="432" t="s">
        <v>438</v>
      </c>
      <c r="O258" s="433"/>
      <c r="P258" s="180" t="s">
        <v>2</v>
      </c>
      <c r="Q258" s="180" t="s">
        <v>4</v>
      </c>
      <c r="R258" s="167" t="s">
        <v>4</v>
      </c>
    </row>
    <row r="259" spans="1:18" x14ac:dyDescent="0.25">
      <c r="A259" s="393"/>
      <c r="B259" s="434"/>
      <c r="C259" s="436"/>
      <c r="D259" s="450"/>
      <c r="E259" s="440"/>
      <c r="F259" s="440"/>
      <c r="G259" s="442"/>
      <c r="H259" s="444"/>
      <c r="I259" s="440"/>
      <c r="J259" s="440"/>
      <c r="K259" s="431"/>
      <c r="L259" s="202" t="s">
        <v>427</v>
      </c>
      <c r="M259" s="204">
        <v>36.737699999999997</v>
      </c>
      <c r="N259" s="432"/>
      <c r="O259" s="433"/>
      <c r="P259" s="180" t="s">
        <v>2</v>
      </c>
      <c r="Q259" s="180" t="s">
        <v>4</v>
      </c>
      <c r="R259" s="167" t="s">
        <v>4</v>
      </c>
    </row>
    <row r="260" spans="1:18" x14ac:dyDescent="0.25">
      <c r="A260" s="393"/>
      <c r="B260" s="434">
        <v>39</v>
      </c>
      <c r="C260" s="436" t="s">
        <v>428</v>
      </c>
      <c r="D260" s="438" t="s">
        <v>310</v>
      </c>
      <c r="E260" s="440" t="s">
        <v>89</v>
      </c>
      <c r="F260" s="440" t="s">
        <v>19</v>
      </c>
      <c r="G260" s="442">
        <v>5.2</v>
      </c>
      <c r="H260" s="444">
        <v>7.86</v>
      </c>
      <c r="I260" s="440" t="s">
        <v>219</v>
      </c>
      <c r="J260" s="440" t="s">
        <v>14</v>
      </c>
      <c r="K260" s="446">
        <v>44965</v>
      </c>
      <c r="L260" s="202" t="s">
        <v>429</v>
      </c>
      <c r="M260" s="204">
        <v>36.675800000000002</v>
      </c>
      <c r="N260" s="432" t="s">
        <v>438</v>
      </c>
      <c r="O260" s="433"/>
      <c r="P260" s="180" t="s">
        <v>2</v>
      </c>
      <c r="Q260" s="180" t="s">
        <v>4</v>
      </c>
      <c r="R260" s="167" t="s">
        <v>4</v>
      </c>
    </row>
    <row r="261" spans="1:18" ht="13.8" thickBot="1" x14ac:dyDescent="0.3">
      <c r="A261" s="393"/>
      <c r="B261" s="435"/>
      <c r="C261" s="437"/>
      <c r="D261" s="439"/>
      <c r="E261" s="441"/>
      <c r="F261" s="441"/>
      <c r="G261" s="443"/>
      <c r="H261" s="445"/>
      <c r="I261" s="441"/>
      <c r="J261" s="441"/>
      <c r="K261" s="447"/>
      <c r="L261" s="207" t="s">
        <v>430</v>
      </c>
      <c r="M261" s="210">
        <v>36.804699999999997</v>
      </c>
      <c r="N261" s="448"/>
      <c r="O261" s="449"/>
      <c r="P261" s="180" t="s">
        <v>2</v>
      </c>
      <c r="Q261" s="180" t="s">
        <v>4</v>
      </c>
      <c r="R261" s="167" t="s">
        <v>4</v>
      </c>
    </row>
    <row r="262" spans="1:18" x14ac:dyDescent="0.25">
      <c r="A262" s="187"/>
      <c r="B262" s="422" t="s">
        <v>462</v>
      </c>
      <c r="C262" s="423"/>
      <c r="D262" s="423"/>
      <c r="E262" s="423"/>
      <c r="F262" s="423"/>
      <c r="G262" s="423"/>
      <c r="H262" s="423"/>
      <c r="I262" s="423"/>
      <c r="J262" s="423"/>
      <c r="K262" s="423"/>
      <c r="L262" s="423"/>
      <c r="M262" s="423"/>
      <c r="N262" s="423"/>
      <c r="O262" s="424"/>
      <c r="P262" s="422" t="s">
        <v>464</v>
      </c>
      <c r="Q262" s="423"/>
      <c r="R262" s="425"/>
    </row>
    <row r="263" spans="1:18" ht="13.8" thickBot="1" x14ac:dyDescent="0.3">
      <c r="A263" s="187"/>
      <c r="B263" s="426" t="s">
        <v>463</v>
      </c>
      <c r="C263" s="427"/>
      <c r="D263" s="427"/>
      <c r="E263" s="427"/>
      <c r="F263" s="427"/>
      <c r="G263" s="427"/>
      <c r="H263" s="427"/>
      <c r="I263" s="427"/>
      <c r="J263" s="427"/>
      <c r="K263" s="427"/>
      <c r="L263" s="427"/>
      <c r="M263" s="427"/>
      <c r="N263" s="427"/>
      <c r="O263" s="428"/>
      <c r="P263" s="426" t="s">
        <v>464</v>
      </c>
      <c r="Q263" s="427"/>
      <c r="R263" s="429"/>
    </row>
    <row r="264" spans="1:18" ht="13.8" thickBot="1" x14ac:dyDescent="0.3">
      <c r="A264" s="394" t="s">
        <v>608</v>
      </c>
      <c r="B264" s="416" t="s">
        <v>475</v>
      </c>
      <c r="C264" s="417"/>
      <c r="D264" s="417"/>
      <c r="E264" s="417"/>
      <c r="F264" s="417"/>
      <c r="G264" s="417"/>
      <c r="H264" s="417"/>
      <c r="I264" s="417"/>
      <c r="J264" s="417"/>
      <c r="K264" s="417"/>
      <c r="L264" s="417"/>
      <c r="M264" s="417"/>
      <c r="N264" s="417"/>
      <c r="O264" s="417"/>
      <c r="P264" s="417"/>
      <c r="Q264" s="417"/>
      <c r="R264" s="418"/>
    </row>
    <row r="265" spans="1:18" x14ac:dyDescent="0.25">
      <c r="A265" s="394"/>
      <c r="B265" s="419" t="s">
        <v>577</v>
      </c>
      <c r="C265" s="420"/>
      <c r="D265" s="420"/>
      <c r="E265" s="420"/>
      <c r="F265" s="420"/>
      <c r="G265" s="420"/>
      <c r="H265" s="420"/>
      <c r="I265" s="420"/>
      <c r="J265" s="420"/>
      <c r="K265" s="420"/>
      <c r="L265" s="420"/>
      <c r="M265" s="420"/>
      <c r="N265" s="420"/>
      <c r="O265" s="421"/>
      <c r="P265" s="187"/>
      <c r="Q265" s="187"/>
      <c r="R265" s="187"/>
    </row>
    <row r="266" spans="1:18" x14ac:dyDescent="0.25">
      <c r="A266" s="394"/>
      <c r="B266" s="402">
        <v>1</v>
      </c>
      <c r="C266" s="403" t="s">
        <v>484</v>
      </c>
      <c r="D266" s="404" t="s">
        <v>12</v>
      </c>
      <c r="E266" s="404"/>
      <c r="F266" s="405"/>
      <c r="G266" s="56"/>
      <c r="H266" s="56"/>
      <c r="I266" s="405"/>
      <c r="J266" s="405"/>
      <c r="K266" s="57"/>
      <c r="L266" s="56"/>
      <c r="M266" s="58"/>
      <c r="N266" s="233"/>
      <c r="O266" s="369" t="s">
        <v>593</v>
      </c>
      <c r="P266" s="398" t="s">
        <v>123</v>
      </c>
      <c r="Q266" s="398" t="s">
        <v>124</v>
      </c>
      <c r="R266" s="398" t="s">
        <v>120</v>
      </c>
    </row>
    <row r="267" spans="1:18" x14ac:dyDescent="0.25">
      <c r="A267" s="394"/>
      <c r="B267" s="402"/>
      <c r="C267" s="403"/>
      <c r="D267" s="405"/>
      <c r="E267" s="404"/>
      <c r="F267" s="405"/>
      <c r="G267" s="56"/>
      <c r="H267" s="56"/>
      <c r="I267" s="405"/>
      <c r="J267" s="405"/>
      <c r="K267" s="57"/>
      <c r="L267" s="56"/>
      <c r="M267" s="58"/>
      <c r="N267" s="233"/>
      <c r="O267" s="369"/>
      <c r="P267" s="398"/>
      <c r="Q267" s="398"/>
      <c r="R267" s="398"/>
    </row>
    <row r="268" spans="1:18" x14ac:dyDescent="0.25">
      <c r="A268" s="394"/>
      <c r="B268" s="402">
        <v>2</v>
      </c>
      <c r="C268" s="403" t="s">
        <v>485</v>
      </c>
      <c r="D268" s="404" t="s">
        <v>12</v>
      </c>
      <c r="E268" s="404" t="s">
        <v>89</v>
      </c>
      <c r="F268" s="405" t="s">
        <v>19</v>
      </c>
      <c r="G268" s="56">
        <v>5.2</v>
      </c>
      <c r="H268" s="56">
        <v>7.86</v>
      </c>
      <c r="I268" s="405" t="s">
        <v>477</v>
      </c>
      <c r="J268" s="405" t="s">
        <v>14</v>
      </c>
      <c r="K268" s="189">
        <v>45025</v>
      </c>
      <c r="L268" s="57" t="s">
        <v>511</v>
      </c>
      <c r="M268" s="58">
        <v>36.781500000000001</v>
      </c>
      <c r="N268" s="369" t="s">
        <v>578</v>
      </c>
      <c r="O268" s="390" t="s">
        <v>594</v>
      </c>
      <c r="P268" s="167" t="s">
        <v>2</v>
      </c>
      <c r="Q268" s="167" t="s">
        <v>4</v>
      </c>
      <c r="R268" s="167" t="s">
        <v>4</v>
      </c>
    </row>
    <row r="269" spans="1:18" x14ac:dyDescent="0.25">
      <c r="A269" s="394"/>
      <c r="B269" s="402"/>
      <c r="C269" s="403"/>
      <c r="D269" s="405"/>
      <c r="E269" s="404"/>
      <c r="F269" s="405"/>
      <c r="G269" s="56">
        <v>5.2</v>
      </c>
      <c r="H269" s="56">
        <v>7.86</v>
      </c>
      <c r="I269" s="405"/>
      <c r="J269" s="405"/>
      <c r="K269" s="189">
        <v>45025</v>
      </c>
      <c r="L269" s="57" t="s">
        <v>512</v>
      </c>
      <c r="M269" s="58">
        <v>36.883800000000001</v>
      </c>
      <c r="N269" s="369"/>
      <c r="O269" s="390"/>
      <c r="P269" s="167" t="s">
        <v>2</v>
      </c>
      <c r="Q269" s="167" t="s">
        <v>4</v>
      </c>
      <c r="R269" s="167" t="s">
        <v>4</v>
      </c>
    </row>
    <row r="270" spans="1:18" x14ac:dyDescent="0.25">
      <c r="A270" s="394"/>
      <c r="B270" s="402">
        <v>3</v>
      </c>
      <c r="C270" s="403" t="s">
        <v>486</v>
      </c>
      <c r="D270" s="404" t="s">
        <v>12</v>
      </c>
      <c r="E270" s="404" t="s">
        <v>89</v>
      </c>
      <c r="F270" s="405" t="s">
        <v>19</v>
      </c>
      <c r="G270" s="56">
        <v>5.2</v>
      </c>
      <c r="H270" s="56">
        <v>7.86</v>
      </c>
      <c r="I270" s="405" t="s">
        <v>477</v>
      </c>
      <c r="J270" s="405" t="s">
        <v>14</v>
      </c>
      <c r="K270" s="189">
        <v>45025</v>
      </c>
      <c r="L270" s="57" t="s">
        <v>513</v>
      </c>
      <c r="M270" s="58">
        <v>37.103400000000001</v>
      </c>
      <c r="N270" s="369" t="s">
        <v>578</v>
      </c>
      <c r="O270" s="390" t="s">
        <v>594</v>
      </c>
      <c r="P270" s="167" t="s">
        <v>2</v>
      </c>
      <c r="Q270" s="167" t="s">
        <v>4</v>
      </c>
      <c r="R270" s="167" t="s">
        <v>4</v>
      </c>
    </row>
    <row r="271" spans="1:18" x14ac:dyDescent="0.25">
      <c r="A271" s="394"/>
      <c r="B271" s="402"/>
      <c r="C271" s="403"/>
      <c r="D271" s="405"/>
      <c r="E271" s="404"/>
      <c r="F271" s="405"/>
      <c r="G271" s="56">
        <v>5.2</v>
      </c>
      <c r="H271" s="56">
        <v>7.86</v>
      </c>
      <c r="I271" s="405"/>
      <c r="J271" s="405"/>
      <c r="K271" s="189">
        <v>45025</v>
      </c>
      <c r="L271" s="57" t="s">
        <v>514</v>
      </c>
      <c r="M271" s="58">
        <v>37.002400000000002</v>
      </c>
      <c r="N271" s="369"/>
      <c r="O271" s="390"/>
      <c r="P271" s="167" t="s">
        <v>2</v>
      </c>
      <c r="Q271" s="167" t="s">
        <v>4</v>
      </c>
      <c r="R271" s="167" t="s">
        <v>4</v>
      </c>
    </row>
    <row r="272" spans="1:18" x14ac:dyDescent="0.25">
      <c r="A272" s="394"/>
      <c r="B272" s="402">
        <v>4</v>
      </c>
      <c r="C272" s="403" t="s">
        <v>487</v>
      </c>
      <c r="D272" s="404" t="s">
        <v>12</v>
      </c>
      <c r="E272" s="404" t="s">
        <v>89</v>
      </c>
      <c r="F272" s="405" t="s">
        <v>19</v>
      </c>
      <c r="G272" s="56">
        <v>5.2</v>
      </c>
      <c r="H272" s="56">
        <v>7.86</v>
      </c>
      <c r="I272" s="405" t="s">
        <v>477</v>
      </c>
      <c r="J272" s="405" t="s">
        <v>14</v>
      </c>
      <c r="K272" s="189">
        <v>45026</v>
      </c>
      <c r="L272" s="57" t="s">
        <v>515</v>
      </c>
      <c r="M272" s="58">
        <v>36.995800000000003</v>
      </c>
      <c r="N272" s="369" t="s">
        <v>578</v>
      </c>
      <c r="O272" s="390" t="s">
        <v>594</v>
      </c>
      <c r="P272" s="167" t="s">
        <v>2</v>
      </c>
      <c r="Q272" s="167" t="s">
        <v>4</v>
      </c>
      <c r="R272" s="167" t="s">
        <v>4</v>
      </c>
    </row>
    <row r="273" spans="1:18" x14ac:dyDescent="0.25">
      <c r="A273" s="394"/>
      <c r="B273" s="402"/>
      <c r="C273" s="403"/>
      <c r="D273" s="405"/>
      <c r="E273" s="404"/>
      <c r="F273" s="405"/>
      <c r="G273" s="56">
        <v>5.2</v>
      </c>
      <c r="H273" s="56">
        <v>7.86</v>
      </c>
      <c r="I273" s="405"/>
      <c r="J273" s="405"/>
      <c r="K273" s="189">
        <v>45026</v>
      </c>
      <c r="L273" s="57" t="s">
        <v>516</v>
      </c>
      <c r="M273" s="58">
        <v>36.997300000000003</v>
      </c>
      <c r="N273" s="369"/>
      <c r="O273" s="390"/>
      <c r="P273" s="167" t="s">
        <v>2</v>
      </c>
      <c r="Q273" s="167" t="s">
        <v>4</v>
      </c>
      <c r="R273" s="167" t="s">
        <v>4</v>
      </c>
    </row>
    <row r="274" spans="1:18" x14ac:dyDescent="0.25">
      <c r="A274" s="394"/>
      <c r="B274" s="402">
        <v>5</v>
      </c>
      <c r="C274" s="403" t="s">
        <v>488</v>
      </c>
      <c r="D274" s="404" t="s">
        <v>12</v>
      </c>
      <c r="E274" s="404"/>
      <c r="F274" s="405"/>
      <c r="G274" s="56"/>
      <c r="H274" s="56"/>
      <c r="I274" s="405"/>
      <c r="J274" s="405"/>
      <c r="K274" s="189"/>
      <c r="L274" s="57"/>
      <c r="M274" s="58"/>
      <c r="N274" s="369" t="s">
        <v>578</v>
      </c>
      <c r="O274" s="369" t="s">
        <v>596</v>
      </c>
      <c r="P274" s="398" t="s">
        <v>123</v>
      </c>
      <c r="Q274" s="398" t="s">
        <v>124</v>
      </c>
      <c r="R274" s="398" t="s">
        <v>120</v>
      </c>
    </row>
    <row r="275" spans="1:18" x14ac:dyDescent="0.25">
      <c r="A275" s="394"/>
      <c r="B275" s="402"/>
      <c r="C275" s="403"/>
      <c r="D275" s="405"/>
      <c r="E275" s="404"/>
      <c r="F275" s="405"/>
      <c r="G275" s="56"/>
      <c r="H275" s="56"/>
      <c r="I275" s="405"/>
      <c r="J275" s="405"/>
      <c r="K275" s="189"/>
      <c r="L275" s="57"/>
      <c r="M275" s="58"/>
      <c r="N275" s="369"/>
      <c r="O275" s="369"/>
      <c r="P275" s="398"/>
      <c r="Q275" s="398"/>
      <c r="R275" s="398"/>
    </row>
    <row r="276" spans="1:18" x14ac:dyDescent="0.25">
      <c r="A276" s="394"/>
      <c r="B276" s="402">
        <v>6</v>
      </c>
      <c r="C276" s="403" t="s">
        <v>489</v>
      </c>
      <c r="D276" s="404" t="s">
        <v>12</v>
      </c>
      <c r="E276" s="404" t="s">
        <v>89</v>
      </c>
      <c r="F276" s="405" t="s">
        <v>19</v>
      </c>
      <c r="G276" s="56">
        <v>5.2</v>
      </c>
      <c r="H276" s="56">
        <v>7.86</v>
      </c>
      <c r="I276" s="405" t="s">
        <v>477</v>
      </c>
      <c r="J276" s="405" t="s">
        <v>14</v>
      </c>
      <c r="K276" s="189">
        <v>45025</v>
      </c>
      <c r="L276" s="57" t="s">
        <v>517</v>
      </c>
      <c r="M276" s="58">
        <v>37.003300000000003</v>
      </c>
      <c r="N276" s="369" t="s">
        <v>578</v>
      </c>
      <c r="O276" s="390" t="s">
        <v>594</v>
      </c>
      <c r="P276" s="167" t="s">
        <v>2</v>
      </c>
      <c r="Q276" s="167" t="s">
        <v>4</v>
      </c>
      <c r="R276" s="167" t="s">
        <v>4</v>
      </c>
    </row>
    <row r="277" spans="1:18" x14ac:dyDescent="0.25">
      <c r="A277" s="394"/>
      <c r="B277" s="402"/>
      <c r="C277" s="403"/>
      <c r="D277" s="405"/>
      <c r="E277" s="404"/>
      <c r="F277" s="405"/>
      <c r="G277" s="56">
        <v>5.2</v>
      </c>
      <c r="H277" s="56">
        <v>7.86</v>
      </c>
      <c r="I277" s="405"/>
      <c r="J277" s="405"/>
      <c r="K277" s="189">
        <v>45025</v>
      </c>
      <c r="L277" s="57" t="s">
        <v>518</v>
      </c>
      <c r="M277" s="58">
        <v>37.013800000000003</v>
      </c>
      <c r="N277" s="369"/>
      <c r="O277" s="390"/>
      <c r="P277" s="167" t="s">
        <v>2</v>
      </c>
      <c r="Q277" s="167" t="s">
        <v>4</v>
      </c>
      <c r="R277" s="167" t="s">
        <v>4</v>
      </c>
    </row>
    <row r="278" spans="1:18" x14ac:dyDescent="0.25">
      <c r="A278" s="394"/>
      <c r="B278" s="402">
        <v>7</v>
      </c>
      <c r="C278" s="403" t="s">
        <v>490</v>
      </c>
      <c r="D278" s="404" t="s">
        <v>12</v>
      </c>
      <c r="E278" s="404" t="s">
        <v>89</v>
      </c>
      <c r="F278" s="405" t="s">
        <v>19</v>
      </c>
      <c r="G278" s="56">
        <v>5.2</v>
      </c>
      <c r="H278" s="56">
        <v>7.86</v>
      </c>
      <c r="I278" s="405" t="s">
        <v>477</v>
      </c>
      <c r="J278" s="405" t="s">
        <v>14</v>
      </c>
      <c r="K278" s="189">
        <v>45026</v>
      </c>
      <c r="L278" s="57" t="s">
        <v>519</v>
      </c>
      <c r="M278" s="58">
        <v>36.716000000000001</v>
      </c>
      <c r="N278" s="369" t="s">
        <v>578</v>
      </c>
      <c r="O278" s="390" t="s">
        <v>594</v>
      </c>
      <c r="P278" s="167" t="s">
        <v>2</v>
      </c>
      <c r="Q278" s="167" t="s">
        <v>4</v>
      </c>
      <c r="R278" s="167" t="s">
        <v>4</v>
      </c>
    </row>
    <row r="279" spans="1:18" x14ac:dyDescent="0.25">
      <c r="A279" s="394"/>
      <c r="B279" s="402"/>
      <c r="C279" s="403"/>
      <c r="D279" s="405"/>
      <c r="E279" s="404"/>
      <c r="F279" s="405"/>
      <c r="G279" s="56">
        <v>5.2</v>
      </c>
      <c r="H279" s="56">
        <v>7.86</v>
      </c>
      <c r="I279" s="405"/>
      <c r="J279" s="405"/>
      <c r="K279" s="189">
        <v>45026</v>
      </c>
      <c r="L279" s="57" t="s">
        <v>520</v>
      </c>
      <c r="M279" s="58">
        <v>36.921700000000001</v>
      </c>
      <c r="N279" s="369"/>
      <c r="O279" s="390"/>
      <c r="P279" s="167" t="s">
        <v>2</v>
      </c>
      <c r="Q279" s="167" t="s">
        <v>4</v>
      </c>
      <c r="R279" s="167" t="s">
        <v>4</v>
      </c>
    </row>
    <row r="280" spans="1:18" x14ac:dyDescent="0.25">
      <c r="A280" s="394"/>
      <c r="B280" s="402">
        <v>8</v>
      </c>
      <c r="C280" s="403" t="s">
        <v>491</v>
      </c>
      <c r="D280" s="404" t="s">
        <v>12</v>
      </c>
      <c r="E280" s="404" t="s">
        <v>89</v>
      </c>
      <c r="F280" s="405" t="s">
        <v>19</v>
      </c>
      <c r="G280" s="56">
        <v>5.2</v>
      </c>
      <c r="H280" s="56">
        <v>7.86</v>
      </c>
      <c r="I280" s="405" t="s">
        <v>477</v>
      </c>
      <c r="J280" s="405" t="s">
        <v>14</v>
      </c>
      <c r="K280" s="189">
        <v>45022</v>
      </c>
      <c r="L280" s="57" t="s">
        <v>521</v>
      </c>
      <c r="M280" s="58">
        <v>36.696100000000001</v>
      </c>
      <c r="N280" s="369" t="s">
        <v>578</v>
      </c>
      <c r="O280" s="369" t="s">
        <v>595</v>
      </c>
      <c r="P280" s="167" t="s">
        <v>2</v>
      </c>
      <c r="Q280" s="167" t="s">
        <v>4</v>
      </c>
      <c r="R280" s="167" t="s">
        <v>4</v>
      </c>
    </row>
    <row r="281" spans="1:18" x14ac:dyDescent="0.25">
      <c r="A281" s="394"/>
      <c r="B281" s="402"/>
      <c r="C281" s="403"/>
      <c r="D281" s="405"/>
      <c r="E281" s="404"/>
      <c r="F281" s="405"/>
      <c r="G281" s="56">
        <v>5.2</v>
      </c>
      <c r="H281" s="56">
        <v>7.86</v>
      </c>
      <c r="I281" s="405"/>
      <c r="J281" s="405"/>
      <c r="K281" s="189">
        <v>45022</v>
      </c>
      <c r="L281" s="57" t="s">
        <v>522</v>
      </c>
      <c r="M281" s="58">
        <v>36.920299999999997</v>
      </c>
      <c r="N281" s="369"/>
      <c r="O281" s="369"/>
      <c r="P281" s="167" t="s">
        <v>2</v>
      </c>
      <c r="Q281" s="167" t="s">
        <v>4</v>
      </c>
      <c r="R281" s="167" t="s">
        <v>4</v>
      </c>
    </row>
    <row r="282" spans="1:18" x14ac:dyDescent="0.25">
      <c r="A282" s="394"/>
      <c r="B282" s="402">
        <v>9</v>
      </c>
      <c r="C282" s="403" t="s">
        <v>492</v>
      </c>
      <c r="D282" s="404" t="s">
        <v>12</v>
      </c>
      <c r="E282" s="404" t="s">
        <v>89</v>
      </c>
      <c r="F282" s="405" t="s">
        <v>19</v>
      </c>
      <c r="G282" s="56">
        <v>5.2</v>
      </c>
      <c r="H282" s="56">
        <v>7.86</v>
      </c>
      <c r="I282" s="405" t="s">
        <v>477</v>
      </c>
      <c r="J282" s="405" t="s">
        <v>14</v>
      </c>
      <c r="K282" s="189">
        <v>45022</v>
      </c>
      <c r="L282" s="57" t="s">
        <v>523</v>
      </c>
      <c r="M282" s="58">
        <v>36.769199999999998</v>
      </c>
      <c r="N282" s="369" t="s">
        <v>578</v>
      </c>
      <c r="O282" s="390"/>
      <c r="P282" s="167" t="s">
        <v>2</v>
      </c>
      <c r="Q282" s="167" t="s">
        <v>4</v>
      </c>
      <c r="R282" s="167" t="s">
        <v>4</v>
      </c>
    </row>
    <row r="283" spans="1:18" ht="13.8" thickBot="1" x14ac:dyDescent="0.3">
      <c r="A283" s="394"/>
      <c r="B283" s="406"/>
      <c r="C283" s="365"/>
      <c r="D283" s="407"/>
      <c r="E283" s="385"/>
      <c r="F283" s="407"/>
      <c r="G283" s="60">
        <v>5.2</v>
      </c>
      <c r="H283" s="60">
        <v>7.86</v>
      </c>
      <c r="I283" s="407"/>
      <c r="J283" s="407"/>
      <c r="K283" s="236">
        <v>45022</v>
      </c>
      <c r="L283" s="101" t="s">
        <v>524</v>
      </c>
      <c r="M283" s="61">
        <v>36.882399999999997</v>
      </c>
      <c r="N283" s="395"/>
      <c r="O283" s="391"/>
      <c r="P283" s="167" t="s">
        <v>2</v>
      </c>
      <c r="Q283" s="167" t="s">
        <v>4</v>
      </c>
      <c r="R283" s="167" t="s">
        <v>4</v>
      </c>
    </row>
    <row r="284" spans="1:18" ht="13.8" customHeight="1" thickBot="1" x14ac:dyDescent="0.3">
      <c r="A284" s="394"/>
      <c r="B284" s="399" t="s">
        <v>479</v>
      </c>
      <c r="C284" s="400"/>
      <c r="D284" s="400"/>
      <c r="E284" s="400"/>
      <c r="F284" s="400"/>
      <c r="G284" s="400"/>
      <c r="H284" s="400"/>
      <c r="I284" s="400"/>
      <c r="J284" s="400"/>
      <c r="K284" s="400"/>
      <c r="L284" s="400"/>
      <c r="M284" s="400"/>
      <c r="N284" s="400"/>
      <c r="O284" s="401"/>
      <c r="P284" s="235"/>
      <c r="Q284" s="233"/>
      <c r="R284" s="233"/>
    </row>
    <row r="285" spans="1:18" x14ac:dyDescent="0.25">
      <c r="A285" s="394"/>
      <c r="B285" s="408">
        <v>10</v>
      </c>
      <c r="C285" s="366" t="s">
        <v>493</v>
      </c>
      <c r="D285" s="386" t="s">
        <v>12</v>
      </c>
      <c r="E285" s="386" t="s">
        <v>89</v>
      </c>
      <c r="F285" s="409" t="s">
        <v>19</v>
      </c>
      <c r="G285" s="62">
        <v>5.2</v>
      </c>
      <c r="H285" s="62">
        <v>7.86</v>
      </c>
      <c r="I285" s="409" t="s">
        <v>477</v>
      </c>
      <c r="J285" s="409" t="s">
        <v>14</v>
      </c>
      <c r="K285" s="237">
        <v>44067</v>
      </c>
      <c r="L285" s="62" t="s">
        <v>525</v>
      </c>
      <c r="M285" s="63">
        <v>37.160299999999999</v>
      </c>
      <c r="N285" s="396" t="s">
        <v>578</v>
      </c>
      <c r="O285" s="392"/>
      <c r="P285" s="167" t="s">
        <v>2</v>
      </c>
      <c r="Q285" s="167" t="s">
        <v>4</v>
      </c>
      <c r="R285" s="167" t="s">
        <v>4</v>
      </c>
    </row>
    <row r="286" spans="1:18" x14ac:dyDescent="0.25">
      <c r="A286" s="394"/>
      <c r="B286" s="402"/>
      <c r="C286" s="403"/>
      <c r="D286" s="405"/>
      <c r="E286" s="404"/>
      <c r="F286" s="405"/>
      <c r="G286" s="56">
        <v>5.2</v>
      </c>
      <c r="H286" s="56">
        <v>7.86</v>
      </c>
      <c r="I286" s="405"/>
      <c r="J286" s="405"/>
      <c r="K286" s="189">
        <v>44067</v>
      </c>
      <c r="L286" s="56" t="s">
        <v>526</v>
      </c>
      <c r="M286" s="58">
        <v>36.704599999999999</v>
      </c>
      <c r="N286" s="369"/>
      <c r="O286" s="390"/>
      <c r="P286" s="167" t="s">
        <v>2</v>
      </c>
      <c r="Q286" s="167" t="s">
        <v>4</v>
      </c>
      <c r="R286" s="167" t="s">
        <v>4</v>
      </c>
    </row>
    <row r="287" spans="1:18" x14ac:dyDescent="0.25">
      <c r="A287" s="394"/>
      <c r="B287" s="402">
        <v>11</v>
      </c>
      <c r="C287" s="403" t="s">
        <v>476</v>
      </c>
      <c r="D287" s="404" t="s">
        <v>12</v>
      </c>
      <c r="E287" s="404" t="s">
        <v>89</v>
      </c>
      <c r="F287" s="405" t="s">
        <v>19</v>
      </c>
      <c r="G287" s="56">
        <v>5.2</v>
      </c>
      <c r="H287" s="56">
        <v>7.86</v>
      </c>
      <c r="I287" s="405" t="s">
        <v>477</v>
      </c>
      <c r="J287" s="405" t="s">
        <v>14</v>
      </c>
      <c r="K287" s="189">
        <v>44067</v>
      </c>
      <c r="L287" s="56" t="s">
        <v>527</v>
      </c>
      <c r="M287" s="58">
        <v>37.002299999999998</v>
      </c>
      <c r="N287" s="369" t="s">
        <v>578</v>
      </c>
      <c r="O287" s="390"/>
      <c r="P287" s="167" t="s">
        <v>2</v>
      </c>
      <c r="Q287" s="167" t="s">
        <v>4</v>
      </c>
      <c r="R287" s="167" t="s">
        <v>4</v>
      </c>
    </row>
    <row r="288" spans="1:18" x14ac:dyDescent="0.25">
      <c r="A288" s="394"/>
      <c r="B288" s="402"/>
      <c r="C288" s="403"/>
      <c r="D288" s="405"/>
      <c r="E288" s="404"/>
      <c r="F288" s="405"/>
      <c r="G288" s="56">
        <v>5.2</v>
      </c>
      <c r="H288" s="56">
        <v>7.86</v>
      </c>
      <c r="I288" s="405"/>
      <c r="J288" s="405"/>
      <c r="K288" s="189">
        <v>44067</v>
      </c>
      <c r="L288" s="56" t="s">
        <v>528</v>
      </c>
      <c r="M288" s="58">
        <v>36.9285</v>
      </c>
      <c r="N288" s="369"/>
      <c r="O288" s="390"/>
      <c r="P288" s="167" t="s">
        <v>2</v>
      </c>
      <c r="Q288" s="167" t="s">
        <v>4</v>
      </c>
      <c r="R288" s="167" t="s">
        <v>4</v>
      </c>
    </row>
    <row r="289" spans="1:18" x14ac:dyDescent="0.25">
      <c r="A289" s="394"/>
      <c r="B289" s="402">
        <v>12</v>
      </c>
      <c r="C289" s="403" t="s">
        <v>494</v>
      </c>
      <c r="D289" s="404" t="s">
        <v>12</v>
      </c>
      <c r="E289" s="404" t="s">
        <v>89</v>
      </c>
      <c r="F289" s="405" t="s">
        <v>19</v>
      </c>
      <c r="G289" s="56">
        <v>5.2</v>
      </c>
      <c r="H289" s="56">
        <v>7.86</v>
      </c>
      <c r="I289" s="405" t="s">
        <v>477</v>
      </c>
      <c r="J289" s="405" t="s">
        <v>14</v>
      </c>
      <c r="K289" s="189">
        <v>44068</v>
      </c>
      <c r="L289" s="56" t="s">
        <v>529</v>
      </c>
      <c r="M289" s="58">
        <v>36.996699999999997</v>
      </c>
      <c r="N289" s="369" t="s">
        <v>578</v>
      </c>
      <c r="O289" s="390"/>
      <c r="P289" s="167" t="s">
        <v>2</v>
      </c>
      <c r="Q289" s="167" t="s">
        <v>4</v>
      </c>
      <c r="R289" s="167" t="s">
        <v>4</v>
      </c>
    </row>
    <row r="290" spans="1:18" x14ac:dyDescent="0.25">
      <c r="A290" s="394"/>
      <c r="B290" s="402"/>
      <c r="C290" s="403"/>
      <c r="D290" s="405"/>
      <c r="E290" s="404"/>
      <c r="F290" s="405"/>
      <c r="G290" s="56">
        <v>5.2</v>
      </c>
      <c r="H290" s="56">
        <v>7.86</v>
      </c>
      <c r="I290" s="405"/>
      <c r="J290" s="405"/>
      <c r="K290" s="189">
        <v>44068</v>
      </c>
      <c r="L290" s="56" t="s">
        <v>530</v>
      </c>
      <c r="M290" s="58">
        <v>36.799500000000002</v>
      </c>
      <c r="N290" s="369"/>
      <c r="O290" s="390"/>
      <c r="P290" s="167" t="s">
        <v>2</v>
      </c>
      <c r="Q290" s="167" t="s">
        <v>4</v>
      </c>
      <c r="R290" s="167" t="s">
        <v>4</v>
      </c>
    </row>
    <row r="291" spans="1:18" x14ac:dyDescent="0.25">
      <c r="A291" s="394"/>
      <c r="B291" s="402">
        <v>13</v>
      </c>
      <c r="C291" s="403" t="s">
        <v>495</v>
      </c>
      <c r="D291" s="404" t="s">
        <v>12</v>
      </c>
      <c r="E291" s="404" t="s">
        <v>89</v>
      </c>
      <c r="F291" s="405" t="s">
        <v>19</v>
      </c>
      <c r="G291" s="56">
        <v>5.2</v>
      </c>
      <c r="H291" s="56">
        <v>7.86</v>
      </c>
      <c r="I291" s="405" t="s">
        <v>477</v>
      </c>
      <c r="J291" s="405" t="s">
        <v>14</v>
      </c>
      <c r="K291" s="189">
        <v>44070</v>
      </c>
      <c r="L291" s="56" t="s">
        <v>531</v>
      </c>
      <c r="M291" s="58">
        <v>36.9405</v>
      </c>
      <c r="N291" s="369" t="s">
        <v>578</v>
      </c>
      <c r="O291" s="390"/>
      <c r="P291" s="167" t="s">
        <v>2</v>
      </c>
      <c r="Q291" s="167" t="s">
        <v>4</v>
      </c>
      <c r="R291" s="167" t="s">
        <v>4</v>
      </c>
    </row>
    <row r="292" spans="1:18" x14ac:dyDescent="0.25">
      <c r="A292" s="394"/>
      <c r="B292" s="402"/>
      <c r="C292" s="403"/>
      <c r="D292" s="405"/>
      <c r="E292" s="404"/>
      <c r="F292" s="405"/>
      <c r="G292" s="56">
        <v>5.2</v>
      </c>
      <c r="H292" s="56">
        <v>7.86</v>
      </c>
      <c r="I292" s="405"/>
      <c r="J292" s="405"/>
      <c r="K292" s="189">
        <v>44070</v>
      </c>
      <c r="L292" s="56" t="s">
        <v>532</v>
      </c>
      <c r="M292" s="58">
        <v>36.996400000000001</v>
      </c>
      <c r="N292" s="369"/>
      <c r="O292" s="390"/>
      <c r="P292" s="167" t="s">
        <v>2</v>
      </c>
      <c r="Q292" s="167" t="s">
        <v>4</v>
      </c>
      <c r="R292" s="167" t="s">
        <v>4</v>
      </c>
    </row>
    <row r="293" spans="1:18" x14ac:dyDescent="0.25">
      <c r="A293" s="394"/>
      <c r="B293" s="402">
        <v>14</v>
      </c>
      <c r="C293" s="403" t="s">
        <v>496</v>
      </c>
      <c r="D293" s="404" t="s">
        <v>12</v>
      </c>
      <c r="E293" s="404" t="s">
        <v>89</v>
      </c>
      <c r="F293" s="405" t="s">
        <v>19</v>
      </c>
      <c r="G293" s="56">
        <v>5.2</v>
      </c>
      <c r="H293" s="56">
        <v>7.86</v>
      </c>
      <c r="I293" s="405" t="s">
        <v>477</v>
      </c>
      <c r="J293" s="405" t="s">
        <v>14</v>
      </c>
      <c r="K293" s="189"/>
      <c r="L293" s="56"/>
      <c r="M293" s="58"/>
      <c r="N293" s="369" t="s">
        <v>578</v>
      </c>
      <c r="O293" s="369" t="s">
        <v>596</v>
      </c>
      <c r="P293" s="398" t="s">
        <v>123</v>
      </c>
      <c r="Q293" s="398" t="s">
        <v>124</v>
      </c>
      <c r="R293" s="398" t="s">
        <v>120</v>
      </c>
    </row>
    <row r="294" spans="1:18" x14ac:dyDescent="0.25">
      <c r="A294" s="394"/>
      <c r="B294" s="402"/>
      <c r="C294" s="403"/>
      <c r="D294" s="405"/>
      <c r="E294" s="404"/>
      <c r="F294" s="405"/>
      <c r="G294" s="56">
        <v>5.2</v>
      </c>
      <c r="H294" s="56">
        <v>7.86</v>
      </c>
      <c r="I294" s="405"/>
      <c r="J294" s="405"/>
      <c r="K294" s="189"/>
      <c r="L294" s="56"/>
      <c r="M294" s="58"/>
      <c r="N294" s="369"/>
      <c r="O294" s="369"/>
      <c r="P294" s="398"/>
      <c r="Q294" s="398"/>
      <c r="R294" s="398"/>
    </row>
    <row r="295" spans="1:18" x14ac:dyDescent="0.25">
      <c r="A295" s="394"/>
      <c r="B295" s="402">
        <v>15</v>
      </c>
      <c r="C295" s="403" t="s">
        <v>497</v>
      </c>
      <c r="D295" s="404" t="s">
        <v>12</v>
      </c>
      <c r="E295" s="404" t="s">
        <v>89</v>
      </c>
      <c r="F295" s="405" t="s">
        <v>19</v>
      </c>
      <c r="G295" s="56">
        <v>5.2</v>
      </c>
      <c r="H295" s="56">
        <v>7.86</v>
      </c>
      <c r="I295" s="405" t="s">
        <v>477</v>
      </c>
      <c r="J295" s="405" t="s">
        <v>14</v>
      </c>
      <c r="K295" s="189">
        <v>44068</v>
      </c>
      <c r="L295" s="56" t="s">
        <v>533</v>
      </c>
      <c r="M295" s="58">
        <v>36.7562</v>
      </c>
      <c r="N295" s="369" t="s">
        <v>578</v>
      </c>
      <c r="O295" s="390"/>
      <c r="P295" s="167" t="s">
        <v>2</v>
      </c>
      <c r="Q295" s="167" t="s">
        <v>4</v>
      </c>
      <c r="R295" s="167" t="s">
        <v>4</v>
      </c>
    </row>
    <row r="296" spans="1:18" x14ac:dyDescent="0.25">
      <c r="A296" s="394"/>
      <c r="B296" s="402"/>
      <c r="C296" s="403"/>
      <c r="D296" s="405"/>
      <c r="E296" s="404"/>
      <c r="F296" s="405"/>
      <c r="G296" s="56">
        <v>5.2</v>
      </c>
      <c r="H296" s="56">
        <v>7.86</v>
      </c>
      <c r="I296" s="405"/>
      <c r="J296" s="405"/>
      <c r="K296" s="189">
        <v>44068</v>
      </c>
      <c r="L296" s="56" t="s">
        <v>534</v>
      </c>
      <c r="M296" s="58">
        <v>36.9788</v>
      </c>
      <c r="N296" s="369"/>
      <c r="O296" s="390"/>
      <c r="P296" s="167" t="s">
        <v>2</v>
      </c>
      <c r="Q296" s="167" t="s">
        <v>4</v>
      </c>
      <c r="R296" s="167" t="s">
        <v>4</v>
      </c>
    </row>
    <row r="297" spans="1:18" x14ac:dyDescent="0.25">
      <c r="A297" s="394"/>
      <c r="B297" s="402">
        <v>16</v>
      </c>
      <c r="C297" s="403" t="s">
        <v>498</v>
      </c>
      <c r="D297" s="404" t="s">
        <v>12</v>
      </c>
      <c r="E297" s="404" t="s">
        <v>89</v>
      </c>
      <c r="F297" s="405" t="s">
        <v>19</v>
      </c>
      <c r="G297" s="56">
        <v>5.2</v>
      </c>
      <c r="H297" s="56">
        <v>7.86</v>
      </c>
      <c r="I297" s="405" t="s">
        <v>477</v>
      </c>
      <c r="J297" s="405" t="s">
        <v>14</v>
      </c>
      <c r="K297" s="189">
        <v>44069</v>
      </c>
      <c r="L297" s="56" t="s">
        <v>535</v>
      </c>
      <c r="M297" s="58">
        <v>37.020699999999998</v>
      </c>
      <c r="N297" s="369" t="s">
        <v>578</v>
      </c>
      <c r="O297" s="390"/>
      <c r="P297" s="234" t="s">
        <v>2</v>
      </c>
      <c r="Q297" s="234" t="s">
        <v>4</v>
      </c>
      <c r="R297" s="234" t="s">
        <v>4</v>
      </c>
    </row>
    <row r="298" spans="1:18" x14ac:dyDescent="0.25">
      <c r="A298" s="394"/>
      <c r="B298" s="402"/>
      <c r="C298" s="403"/>
      <c r="D298" s="405"/>
      <c r="E298" s="404"/>
      <c r="F298" s="405"/>
      <c r="G298" s="56">
        <v>5.2</v>
      </c>
      <c r="H298" s="56">
        <v>7.86</v>
      </c>
      <c r="I298" s="405"/>
      <c r="J298" s="405"/>
      <c r="K298" s="189">
        <v>44069</v>
      </c>
      <c r="L298" s="56" t="s">
        <v>536</v>
      </c>
      <c r="M298" s="58">
        <v>37.048099999999998</v>
      </c>
      <c r="N298" s="369"/>
      <c r="O298" s="390"/>
      <c r="P298" s="234" t="s">
        <v>2</v>
      </c>
      <c r="Q298" s="234" t="s">
        <v>4</v>
      </c>
      <c r="R298" s="234" t="s">
        <v>4</v>
      </c>
    </row>
    <row r="299" spans="1:18" x14ac:dyDescent="0.25">
      <c r="A299" s="394"/>
      <c r="B299" s="402">
        <v>17</v>
      </c>
      <c r="C299" s="403" t="s">
        <v>499</v>
      </c>
      <c r="D299" s="404" t="s">
        <v>12</v>
      </c>
      <c r="E299" s="404" t="s">
        <v>89</v>
      </c>
      <c r="F299" s="405" t="s">
        <v>19</v>
      </c>
      <c r="G299" s="56">
        <v>5.2</v>
      </c>
      <c r="H299" s="56">
        <v>7.86</v>
      </c>
      <c r="I299" s="405" t="s">
        <v>477</v>
      </c>
      <c r="J299" s="405" t="s">
        <v>14</v>
      </c>
      <c r="K299" s="189">
        <v>44070</v>
      </c>
      <c r="L299" s="56" t="s">
        <v>537</v>
      </c>
      <c r="M299" s="58">
        <v>37.002000000000002</v>
      </c>
      <c r="N299" s="369" t="s">
        <v>578</v>
      </c>
      <c r="O299" s="390"/>
      <c r="P299" s="234" t="s">
        <v>2</v>
      </c>
      <c r="Q299" s="234" t="s">
        <v>4</v>
      </c>
      <c r="R299" s="234" t="s">
        <v>4</v>
      </c>
    </row>
    <row r="300" spans="1:18" x14ac:dyDescent="0.25">
      <c r="A300" s="394"/>
      <c r="B300" s="402"/>
      <c r="C300" s="403"/>
      <c r="D300" s="405"/>
      <c r="E300" s="404"/>
      <c r="F300" s="405"/>
      <c r="G300" s="56">
        <v>5.2</v>
      </c>
      <c r="H300" s="56">
        <v>7.86</v>
      </c>
      <c r="I300" s="405"/>
      <c r="J300" s="405"/>
      <c r="K300" s="189">
        <v>44070</v>
      </c>
      <c r="L300" s="56" t="s">
        <v>538</v>
      </c>
      <c r="M300" s="58">
        <v>36.901600000000002</v>
      </c>
      <c r="N300" s="369"/>
      <c r="O300" s="390"/>
      <c r="P300" s="234" t="s">
        <v>2</v>
      </c>
      <c r="Q300" s="234" t="s">
        <v>4</v>
      </c>
      <c r="R300" s="234" t="s">
        <v>4</v>
      </c>
    </row>
    <row r="301" spans="1:18" x14ac:dyDescent="0.25">
      <c r="A301" s="394"/>
      <c r="B301" s="402">
        <v>18</v>
      </c>
      <c r="C301" s="403" t="s">
        <v>500</v>
      </c>
      <c r="D301" s="404" t="s">
        <v>12</v>
      </c>
      <c r="E301" s="404" t="s">
        <v>89</v>
      </c>
      <c r="F301" s="405" t="s">
        <v>19</v>
      </c>
      <c r="G301" s="56">
        <v>5.2</v>
      </c>
      <c r="H301" s="56">
        <v>7.86</v>
      </c>
      <c r="I301" s="405" t="s">
        <v>477</v>
      </c>
      <c r="J301" s="405" t="s">
        <v>14</v>
      </c>
      <c r="K301" s="189">
        <v>44072</v>
      </c>
      <c r="L301" s="56" t="s">
        <v>539</v>
      </c>
      <c r="M301" s="58">
        <v>36.982799999999997</v>
      </c>
      <c r="N301" s="369" t="s">
        <v>578</v>
      </c>
      <c r="O301" s="390"/>
      <c r="P301" s="167" t="s">
        <v>2</v>
      </c>
      <c r="Q301" s="167" t="s">
        <v>4</v>
      </c>
      <c r="R301" s="167" t="s">
        <v>4</v>
      </c>
    </row>
    <row r="302" spans="1:18" ht="13.8" thickBot="1" x14ac:dyDescent="0.3">
      <c r="A302" s="394"/>
      <c r="B302" s="406"/>
      <c r="C302" s="365"/>
      <c r="D302" s="407"/>
      <c r="E302" s="385"/>
      <c r="F302" s="407"/>
      <c r="G302" s="60">
        <v>5.2</v>
      </c>
      <c r="H302" s="60">
        <v>7.86</v>
      </c>
      <c r="I302" s="407"/>
      <c r="J302" s="407"/>
      <c r="K302" s="236">
        <v>44072</v>
      </c>
      <c r="L302" s="60" t="s">
        <v>540</v>
      </c>
      <c r="M302" s="61">
        <v>37.094099999999997</v>
      </c>
      <c r="N302" s="395"/>
      <c r="O302" s="391"/>
      <c r="P302" s="167" t="s">
        <v>2</v>
      </c>
      <c r="Q302" s="167" t="s">
        <v>4</v>
      </c>
      <c r="R302" s="167" t="s">
        <v>4</v>
      </c>
    </row>
    <row r="303" spans="1:18" ht="13.8" customHeight="1" thickBot="1" x14ac:dyDescent="0.3">
      <c r="A303" s="394"/>
      <c r="B303" s="399" t="s">
        <v>480</v>
      </c>
      <c r="C303" s="400"/>
      <c r="D303" s="400"/>
      <c r="E303" s="400"/>
      <c r="F303" s="400"/>
      <c r="G303" s="400"/>
      <c r="H303" s="400"/>
      <c r="I303" s="400"/>
      <c r="J303" s="400"/>
      <c r="K303" s="400"/>
      <c r="L303" s="400"/>
      <c r="M303" s="400"/>
      <c r="N303" s="400"/>
      <c r="O303" s="401"/>
      <c r="P303" s="235"/>
      <c r="Q303" s="233"/>
      <c r="R303" s="233"/>
    </row>
    <row r="304" spans="1:18" ht="13.2" customHeight="1" x14ac:dyDescent="0.25">
      <c r="A304" s="394"/>
      <c r="B304" s="408">
        <v>19</v>
      </c>
      <c r="C304" s="366" t="s">
        <v>501</v>
      </c>
      <c r="D304" s="386" t="s">
        <v>12</v>
      </c>
      <c r="E304" s="386" t="s">
        <v>89</v>
      </c>
      <c r="F304" s="409" t="s">
        <v>19</v>
      </c>
      <c r="G304" s="409">
        <v>2.5</v>
      </c>
      <c r="H304" s="409">
        <v>7.86</v>
      </c>
      <c r="I304" s="409" t="s">
        <v>542</v>
      </c>
      <c r="J304" s="409" t="s">
        <v>14</v>
      </c>
      <c r="K304" s="414">
        <v>44061</v>
      </c>
      <c r="L304" s="409" t="s">
        <v>541</v>
      </c>
      <c r="M304" s="409">
        <v>17.572900000000001</v>
      </c>
      <c r="N304" s="396" t="s">
        <v>597</v>
      </c>
      <c r="O304" s="397" t="s">
        <v>598</v>
      </c>
      <c r="P304" s="398" t="s">
        <v>123</v>
      </c>
      <c r="Q304" s="398" t="s">
        <v>124</v>
      </c>
      <c r="R304" s="398" t="s">
        <v>120</v>
      </c>
    </row>
    <row r="305" spans="1:18" x14ac:dyDescent="0.25">
      <c r="A305" s="394"/>
      <c r="B305" s="402"/>
      <c r="C305" s="403"/>
      <c r="D305" s="405"/>
      <c r="E305" s="404"/>
      <c r="F305" s="405"/>
      <c r="G305" s="405"/>
      <c r="H305" s="405"/>
      <c r="I305" s="405"/>
      <c r="J305" s="405"/>
      <c r="K305" s="410"/>
      <c r="L305" s="405"/>
      <c r="M305" s="405"/>
      <c r="N305" s="390"/>
      <c r="O305" s="396"/>
      <c r="P305" s="398"/>
      <c r="Q305" s="398"/>
      <c r="R305" s="398"/>
    </row>
    <row r="306" spans="1:18" x14ac:dyDescent="0.25">
      <c r="A306" s="394"/>
      <c r="B306" s="402">
        <v>20</v>
      </c>
      <c r="C306" s="403" t="s">
        <v>502</v>
      </c>
      <c r="D306" s="404" t="s">
        <v>12</v>
      </c>
      <c r="E306" s="404" t="s">
        <v>89</v>
      </c>
      <c r="F306" s="405" t="s">
        <v>19</v>
      </c>
      <c r="G306" s="56">
        <v>5.2</v>
      </c>
      <c r="H306" s="56">
        <v>7.86</v>
      </c>
      <c r="I306" s="405" t="s">
        <v>477</v>
      </c>
      <c r="J306" s="405" t="s">
        <v>14</v>
      </c>
      <c r="K306" s="189"/>
      <c r="L306" s="56"/>
      <c r="M306" s="58"/>
      <c r="N306" s="369" t="s">
        <v>599</v>
      </c>
      <c r="O306" s="369" t="s">
        <v>596</v>
      </c>
      <c r="P306" s="398" t="s">
        <v>123</v>
      </c>
      <c r="Q306" s="398" t="s">
        <v>124</v>
      </c>
      <c r="R306" s="398" t="s">
        <v>120</v>
      </c>
    </row>
    <row r="307" spans="1:18" x14ac:dyDescent="0.25">
      <c r="A307" s="394"/>
      <c r="B307" s="402"/>
      <c r="C307" s="403"/>
      <c r="D307" s="405"/>
      <c r="E307" s="404"/>
      <c r="F307" s="405"/>
      <c r="G307" s="56">
        <v>5.2</v>
      </c>
      <c r="H307" s="56">
        <v>7.86</v>
      </c>
      <c r="I307" s="405"/>
      <c r="J307" s="405"/>
      <c r="K307" s="189"/>
      <c r="L307" s="56"/>
      <c r="M307" s="58"/>
      <c r="N307" s="390"/>
      <c r="O307" s="369"/>
      <c r="P307" s="398"/>
      <c r="Q307" s="398"/>
      <c r="R307" s="398"/>
    </row>
    <row r="308" spans="1:18" x14ac:dyDescent="0.25">
      <c r="A308" s="394"/>
      <c r="B308" s="402">
        <v>21</v>
      </c>
      <c r="C308" s="403" t="s">
        <v>503</v>
      </c>
      <c r="D308" s="404" t="s">
        <v>12</v>
      </c>
      <c r="E308" s="404" t="s">
        <v>89</v>
      </c>
      <c r="F308" s="405" t="s">
        <v>19</v>
      </c>
      <c r="G308" s="56"/>
      <c r="H308" s="56"/>
      <c r="I308" s="405"/>
      <c r="J308" s="405"/>
      <c r="K308" s="189">
        <v>45021</v>
      </c>
      <c r="L308" s="57" t="s">
        <v>543</v>
      </c>
      <c r="M308" s="58">
        <v>36.992899999999999</v>
      </c>
      <c r="N308" s="369" t="s">
        <v>599</v>
      </c>
      <c r="O308" s="390"/>
      <c r="P308" s="167" t="s">
        <v>2</v>
      </c>
      <c r="Q308" s="167" t="s">
        <v>4</v>
      </c>
      <c r="R308" s="398" t="s">
        <v>120</v>
      </c>
    </row>
    <row r="309" spans="1:18" x14ac:dyDescent="0.25">
      <c r="A309" s="394"/>
      <c r="B309" s="402"/>
      <c r="C309" s="403"/>
      <c r="D309" s="405"/>
      <c r="E309" s="404"/>
      <c r="F309" s="405"/>
      <c r="G309" s="56"/>
      <c r="H309" s="56"/>
      <c r="I309" s="405"/>
      <c r="J309" s="405"/>
      <c r="K309" s="189">
        <v>45021</v>
      </c>
      <c r="L309" s="57" t="s">
        <v>544</v>
      </c>
      <c r="M309" s="58">
        <v>36.792700000000004</v>
      </c>
      <c r="N309" s="390"/>
      <c r="O309" s="390"/>
      <c r="P309" s="167" t="s">
        <v>2</v>
      </c>
      <c r="Q309" s="167" t="s">
        <v>4</v>
      </c>
      <c r="R309" s="398"/>
    </row>
    <row r="310" spans="1:18" x14ac:dyDescent="0.25">
      <c r="A310" s="394"/>
      <c r="B310" s="402">
        <v>22</v>
      </c>
      <c r="C310" s="403" t="s">
        <v>504</v>
      </c>
      <c r="D310" s="404" t="s">
        <v>12</v>
      </c>
      <c r="E310" s="404" t="s">
        <v>89</v>
      </c>
      <c r="F310" s="405" t="s">
        <v>19</v>
      </c>
      <c r="G310" s="56">
        <v>5.2</v>
      </c>
      <c r="H310" s="56">
        <v>7.86</v>
      </c>
      <c r="I310" s="405" t="s">
        <v>477</v>
      </c>
      <c r="J310" s="405" t="s">
        <v>550</v>
      </c>
      <c r="K310" s="189">
        <v>45021</v>
      </c>
      <c r="L310" s="57" t="s">
        <v>545</v>
      </c>
      <c r="M310" s="58">
        <v>37.129399999999997</v>
      </c>
      <c r="N310" s="369" t="s">
        <v>599</v>
      </c>
      <c r="O310" s="390"/>
      <c r="P310" s="167" t="s">
        <v>2</v>
      </c>
      <c r="Q310" s="167" t="s">
        <v>4</v>
      </c>
      <c r="R310" s="167" t="s">
        <v>4</v>
      </c>
    </row>
    <row r="311" spans="1:18" x14ac:dyDescent="0.25">
      <c r="A311" s="394"/>
      <c r="B311" s="402"/>
      <c r="C311" s="403"/>
      <c r="D311" s="405"/>
      <c r="E311" s="404"/>
      <c r="F311" s="405"/>
      <c r="G311" s="56">
        <v>5.2</v>
      </c>
      <c r="H311" s="56">
        <v>7.86</v>
      </c>
      <c r="I311" s="405"/>
      <c r="J311" s="405"/>
      <c r="K311" s="189">
        <v>45021</v>
      </c>
      <c r="L311" s="57" t="s">
        <v>546</v>
      </c>
      <c r="M311" s="58">
        <v>36.9557</v>
      </c>
      <c r="N311" s="390"/>
      <c r="O311" s="390"/>
      <c r="P311" s="167" t="s">
        <v>2</v>
      </c>
      <c r="Q311" s="167" t="s">
        <v>4</v>
      </c>
      <c r="R311" s="167" t="s">
        <v>4</v>
      </c>
    </row>
    <row r="312" spans="1:18" x14ac:dyDescent="0.25">
      <c r="A312" s="394"/>
      <c r="B312" s="402">
        <v>23</v>
      </c>
      <c r="C312" s="403" t="s">
        <v>505</v>
      </c>
      <c r="D312" s="404" t="s">
        <v>12</v>
      </c>
      <c r="E312" s="404" t="s">
        <v>341</v>
      </c>
      <c r="F312" s="405" t="s">
        <v>19</v>
      </c>
      <c r="G312" s="405">
        <v>2.5</v>
      </c>
      <c r="H312" s="405">
        <v>7.86</v>
      </c>
      <c r="I312" s="405" t="s">
        <v>548</v>
      </c>
      <c r="J312" s="405" t="s">
        <v>550</v>
      </c>
      <c r="K312" s="410">
        <v>45023</v>
      </c>
      <c r="L312" s="410" t="s">
        <v>547</v>
      </c>
      <c r="M312" s="412">
        <v>17.569700000000001</v>
      </c>
      <c r="N312" s="369" t="s">
        <v>599</v>
      </c>
      <c r="O312" s="390"/>
      <c r="P312" s="371" t="s">
        <v>2</v>
      </c>
      <c r="Q312" s="371" t="s">
        <v>4</v>
      </c>
      <c r="R312" s="371" t="s">
        <v>4</v>
      </c>
    </row>
    <row r="313" spans="1:18" x14ac:dyDescent="0.25">
      <c r="A313" s="394"/>
      <c r="B313" s="402"/>
      <c r="C313" s="403"/>
      <c r="D313" s="405"/>
      <c r="E313" s="404"/>
      <c r="F313" s="405"/>
      <c r="G313" s="405"/>
      <c r="H313" s="405"/>
      <c r="I313" s="405"/>
      <c r="J313" s="405"/>
      <c r="K313" s="410"/>
      <c r="L313" s="410"/>
      <c r="M313" s="412"/>
      <c r="N313" s="390"/>
      <c r="O313" s="390"/>
      <c r="P313" s="371"/>
      <c r="Q313" s="371"/>
      <c r="R313" s="371"/>
    </row>
    <row r="314" spans="1:18" x14ac:dyDescent="0.25">
      <c r="A314" s="394"/>
      <c r="B314" s="402">
        <v>24</v>
      </c>
      <c r="C314" s="403" t="s">
        <v>506</v>
      </c>
      <c r="D314" s="404" t="s">
        <v>12</v>
      </c>
      <c r="E314" s="404" t="s">
        <v>341</v>
      </c>
      <c r="F314" s="405" t="s">
        <v>19</v>
      </c>
      <c r="G314" s="405">
        <v>2.5</v>
      </c>
      <c r="H314" s="405">
        <v>7.86</v>
      </c>
      <c r="I314" s="405" t="s">
        <v>551</v>
      </c>
      <c r="J314" s="405" t="s">
        <v>550</v>
      </c>
      <c r="K314" s="410">
        <v>45023</v>
      </c>
      <c r="L314" s="410" t="s">
        <v>549</v>
      </c>
      <c r="M314" s="412">
        <v>17.581800000000001</v>
      </c>
      <c r="N314" s="369" t="s">
        <v>599</v>
      </c>
      <c r="O314" s="390"/>
      <c r="P314" s="398" t="s">
        <v>123</v>
      </c>
      <c r="Q314" s="398" t="s">
        <v>124</v>
      </c>
      <c r="R314" s="398" t="s">
        <v>120</v>
      </c>
    </row>
    <row r="315" spans="1:18" ht="13.8" thickBot="1" x14ac:dyDescent="0.3">
      <c r="A315" s="394"/>
      <c r="B315" s="406"/>
      <c r="C315" s="365"/>
      <c r="D315" s="407"/>
      <c r="E315" s="385"/>
      <c r="F315" s="407"/>
      <c r="G315" s="407"/>
      <c r="H315" s="407"/>
      <c r="I315" s="407"/>
      <c r="J315" s="407"/>
      <c r="K315" s="411"/>
      <c r="L315" s="411"/>
      <c r="M315" s="413"/>
      <c r="N315" s="391"/>
      <c r="O315" s="391"/>
      <c r="P315" s="398"/>
      <c r="Q315" s="398"/>
      <c r="R315" s="398"/>
    </row>
    <row r="316" spans="1:18" ht="13.8" customHeight="1" thickBot="1" x14ac:dyDescent="0.3">
      <c r="A316" s="394"/>
      <c r="B316" s="399" t="s">
        <v>481</v>
      </c>
      <c r="C316" s="400"/>
      <c r="D316" s="400"/>
      <c r="E316" s="400"/>
      <c r="F316" s="400"/>
      <c r="G316" s="400"/>
      <c r="H316" s="400"/>
      <c r="I316" s="400"/>
      <c r="J316" s="400"/>
      <c r="K316" s="400"/>
      <c r="L316" s="400"/>
      <c r="M316" s="400"/>
      <c r="N316" s="400"/>
      <c r="O316" s="401"/>
      <c r="P316" s="235"/>
      <c r="Q316" s="233"/>
      <c r="R316" s="233"/>
    </row>
    <row r="317" spans="1:18" x14ac:dyDescent="0.25">
      <c r="A317" s="394"/>
      <c r="B317" s="408">
        <v>25</v>
      </c>
      <c r="C317" s="366" t="s">
        <v>507</v>
      </c>
      <c r="D317" s="386" t="s">
        <v>552</v>
      </c>
      <c r="E317" s="386"/>
      <c r="F317" s="409"/>
      <c r="G317" s="409"/>
      <c r="H317" s="409"/>
      <c r="I317" s="409"/>
      <c r="J317" s="409"/>
      <c r="K317" s="100"/>
      <c r="L317" s="62"/>
      <c r="M317" s="63"/>
      <c r="N317" s="396" t="s">
        <v>600</v>
      </c>
      <c r="O317" s="396" t="s">
        <v>596</v>
      </c>
      <c r="P317" s="398" t="s">
        <v>123</v>
      </c>
      <c r="Q317" s="398" t="s">
        <v>124</v>
      </c>
      <c r="R317" s="398" t="s">
        <v>120</v>
      </c>
    </row>
    <row r="318" spans="1:18" x14ac:dyDescent="0.25">
      <c r="A318" s="394"/>
      <c r="B318" s="402"/>
      <c r="C318" s="403"/>
      <c r="D318" s="405"/>
      <c r="E318" s="404"/>
      <c r="F318" s="405"/>
      <c r="G318" s="405"/>
      <c r="H318" s="405"/>
      <c r="I318" s="405"/>
      <c r="J318" s="405"/>
      <c r="K318" s="57"/>
      <c r="L318" s="56"/>
      <c r="M318" s="58"/>
      <c r="N318" s="369"/>
      <c r="O318" s="369"/>
      <c r="P318" s="398"/>
      <c r="Q318" s="398"/>
      <c r="R318" s="398"/>
    </row>
    <row r="319" spans="1:18" x14ac:dyDescent="0.25">
      <c r="A319" s="394"/>
      <c r="B319" s="402">
        <v>26</v>
      </c>
      <c r="C319" s="403" t="s">
        <v>508</v>
      </c>
      <c r="D319" s="404" t="s">
        <v>553</v>
      </c>
      <c r="E319" s="404" t="s">
        <v>36</v>
      </c>
      <c r="F319" s="405" t="s">
        <v>19</v>
      </c>
      <c r="G319" s="405">
        <v>2.5</v>
      </c>
      <c r="H319" s="405">
        <v>7.86</v>
      </c>
      <c r="I319" s="405" t="s">
        <v>554</v>
      </c>
      <c r="J319" s="405" t="s">
        <v>14</v>
      </c>
      <c r="K319" s="410">
        <v>45024</v>
      </c>
      <c r="L319" s="405" t="s">
        <v>556</v>
      </c>
      <c r="M319" s="412">
        <v>17.422599999999999</v>
      </c>
      <c r="N319" s="369" t="s">
        <v>600</v>
      </c>
      <c r="O319" s="369" t="s">
        <v>601</v>
      </c>
      <c r="P319" s="371" t="s">
        <v>2</v>
      </c>
      <c r="Q319" s="371" t="s">
        <v>4</v>
      </c>
      <c r="R319" s="371" t="s">
        <v>4</v>
      </c>
    </row>
    <row r="320" spans="1:18" ht="13.8" thickBot="1" x14ac:dyDescent="0.3">
      <c r="A320" s="394"/>
      <c r="B320" s="406"/>
      <c r="C320" s="365"/>
      <c r="D320" s="407"/>
      <c r="E320" s="385"/>
      <c r="F320" s="407"/>
      <c r="G320" s="407"/>
      <c r="H320" s="407"/>
      <c r="I320" s="407"/>
      <c r="J320" s="407"/>
      <c r="K320" s="411"/>
      <c r="L320" s="407"/>
      <c r="M320" s="413"/>
      <c r="N320" s="395"/>
      <c r="O320" s="395"/>
      <c r="P320" s="371"/>
      <c r="Q320" s="371"/>
      <c r="R320" s="371"/>
    </row>
    <row r="321" spans="1:18" ht="13.8" customHeight="1" thickBot="1" x14ac:dyDescent="0.3">
      <c r="A321" s="394"/>
      <c r="B321" s="399" t="s">
        <v>482</v>
      </c>
      <c r="C321" s="400"/>
      <c r="D321" s="400"/>
      <c r="E321" s="400"/>
      <c r="F321" s="400"/>
      <c r="G321" s="400"/>
      <c r="H321" s="400"/>
      <c r="I321" s="400"/>
      <c r="J321" s="400"/>
      <c r="K321" s="400"/>
      <c r="L321" s="400"/>
      <c r="M321" s="400"/>
      <c r="N321" s="400"/>
      <c r="O321" s="401"/>
      <c r="P321" s="235"/>
      <c r="Q321" s="233"/>
      <c r="R321" s="233"/>
    </row>
    <row r="322" spans="1:18" x14ac:dyDescent="0.25">
      <c r="A322" s="394"/>
      <c r="B322" s="408">
        <v>27</v>
      </c>
      <c r="C322" s="366" t="s">
        <v>509</v>
      </c>
      <c r="D322" s="386" t="s">
        <v>553</v>
      </c>
      <c r="E322" s="386" t="s">
        <v>36</v>
      </c>
      <c r="F322" s="409" t="s">
        <v>19</v>
      </c>
      <c r="G322" s="409">
        <v>2.5</v>
      </c>
      <c r="H322" s="409">
        <v>7.86</v>
      </c>
      <c r="I322" s="409" t="s">
        <v>554</v>
      </c>
      <c r="J322" s="409" t="s">
        <v>14</v>
      </c>
      <c r="K322" s="414">
        <v>45024</v>
      </c>
      <c r="L322" s="409" t="s">
        <v>557</v>
      </c>
      <c r="M322" s="415">
        <v>17.779599999999999</v>
      </c>
      <c r="N322" s="396" t="s">
        <v>600</v>
      </c>
      <c r="O322" s="396" t="s">
        <v>601</v>
      </c>
      <c r="P322" s="371" t="s">
        <v>2</v>
      </c>
      <c r="Q322" s="371" t="s">
        <v>4</v>
      </c>
      <c r="R322" s="371" t="s">
        <v>4</v>
      </c>
    </row>
    <row r="323" spans="1:18" x14ac:dyDescent="0.25">
      <c r="A323" s="394"/>
      <c r="B323" s="402"/>
      <c r="C323" s="403"/>
      <c r="D323" s="405"/>
      <c r="E323" s="404"/>
      <c r="F323" s="405"/>
      <c r="G323" s="405"/>
      <c r="H323" s="405"/>
      <c r="I323" s="405"/>
      <c r="J323" s="405"/>
      <c r="K323" s="410"/>
      <c r="L323" s="405"/>
      <c r="M323" s="412"/>
      <c r="N323" s="369"/>
      <c r="O323" s="369"/>
      <c r="P323" s="371"/>
      <c r="Q323" s="371"/>
      <c r="R323" s="371"/>
    </row>
    <row r="324" spans="1:18" x14ac:dyDescent="0.25">
      <c r="A324" s="394"/>
      <c r="B324" s="402">
        <v>28</v>
      </c>
      <c r="C324" s="403" t="s">
        <v>117</v>
      </c>
      <c r="D324" s="404" t="s">
        <v>552</v>
      </c>
      <c r="E324" s="404"/>
      <c r="F324" s="405"/>
      <c r="G324" s="405"/>
      <c r="H324" s="405"/>
      <c r="I324" s="405"/>
      <c r="J324" s="405"/>
      <c r="K324" s="57"/>
      <c r="L324" s="56"/>
      <c r="M324" s="58"/>
      <c r="N324" s="369" t="s">
        <v>600</v>
      </c>
      <c r="O324" s="369" t="s">
        <v>596</v>
      </c>
      <c r="P324" s="398" t="s">
        <v>123</v>
      </c>
      <c r="Q324" s="398" t="s">
        <v>124</v>
      </c>
      <c r="R324" s="398" t="s">
        <v>120</v>
      </c>
    </row>
    <row r="325" spans="1:18" ht="13.8" thickBot="1" x14ac:dyDescent="0.3">
      <c r="A325" s="394"/>
      <c r="B325" s="406"/>
      <c r="C325" s="365"/>
      <c r="D325" s="407"/>
      <c r="E325" s="385"/>
      <c r="F325" s="407"/>
      <c r="G325" s="407"/>
      <c r="H325" s="407"/>
      <c r="I325" s="407"/>
      <c r="J325" s="407"/>
      <c r="K325" s="101"/>
      <c r="L325" s="60"/>
      <c r="M325" s="61"/>
      <c r="N325" s="395"/>
      <c r="O325" s="395"/>
      <c r="P325" s="398"/>
      <c r="Q325" s="398"/>
      <c r="R325" s="398"/>
    </row>
    <row r="326" spans="1:18" ht="13.8" customHeight="1" thickBot="1" x14ac:dyDescent="0.3">
      <c r="A326" s="394"/>
      <c r="B326" s="399" t="s">
        <v>483</v>
      </c>
      <c r="C326" s="400"/>
      <c r="D326" s="400"/>
      <c r="E326" s="400"/>
      <c r="F326" s="400"/>
      <c r="G326" s="400"/>
      <c r="H326" s="400"/>
      <c r="I326" s="400"/>
      <c r="J326" s="400"/>
      <c r="K326" s="400"/>
      <c r="L326" s="400"/>
      <c r="M326" s="400"/>
      <c r="N326" s="400"/>
      <c r="O326" s="401"/>
      <c r="P326" s="235"/>
      <c r="Q326" s="233"/>
      <c r="R326" s="233"/>
    </row>
    <row r="327" spans="1:18" x14ac:dyDescent="0.25">
      <c r="A327" s="394"/>
      <c r="B327" s="408">
        <v>29</v>
      </c>
      <c r="C327" s="366" t="s">
        <v>510</v>
      </c>
      <c r="D327" s="386" t="s">
        <v>555</v>
      </c>
      <c r="E327" s="386" t="s">
        <v>89</v>
      </c>
      <c r="F327" s="409" t="s">
        <v>19</v>
      </c>
      <c r="G327" s="62">
        <v>5.2</v>
      </c>
      <c r="H327" s="62">
        <v>7.86</v>
      </c>
      <c r="I327" s="409" t="s">
        <v>558</v>
      </c>
      <c r="J327" s="409" t="s">
        <v>550</v>
      </c>
      <c r="K327" s="100">
        <v>45021</v>
      </c>
      <c r="L327" s="62" t="s">
        <v>559</v>
      </c>
      <c r="M327" s="63">
        <v>37.079799999999999</v>
      </c>
      <c r="N327" s="396" t="s">
        <v>599</v>
      </c>
      <c r="O327" s="396" t="s">
        <v>602</v>
      </c>
      <c r="P327" s="167" t="s">
        <v>2</v>
      </c>
      <c r="Q327" s="167" t="s">
        <v>4</v>
      </c>
      <c r="R327" s="167" t="s">
        <v>4</v>
      </c>
    </row>
    <row r="328" spans="1:18" ht="13.8" thickBot="1" x14ac:dyDescent="0.3">
      <c r="A328" s="394"/>
      <c r="B328" s="406"/>
      <c r="C328" s="365"/>
      <c r="D328" s="407"/>
      <c r="E328" s="385"/>
      <c r="F328" s="407"/>
      <c r="G328" s="60">
        <v>5.2</v>
      </c>
      <c r="H328" s="60">
        <v>7.86</v>
      </c>
      <c r="I328" s="407"/>
      <c r="J328" s="407"/>
      <c r="K328" s="101">
        <v>45021</v>
      </c>
      <c r="L328" s="60" t="s">
        <v>560</v>
      </c>
      <c r="M328" s="61">
        <v>37.035499999999999</v>
      </c>
      <c r="N328" s="391"/>
      <c r="O328" s="395"/>
      <c r="P328" s="180" t="s">
        <v>2</v>
      </c>
      <c r="Q328" s="180" t="s">
        <v>4</v>
      </c>
      <c r="R328" s="180" t="s">
        <v>4</v>
      </c>
    </row>
    <row r="329" spans="1:18" ht="13.8" thickBot="1" x14ac:dyDescent="0.3">
      <c r="B329" s="387" t="s">
        <v>603</v>
      </c>
      <c r="C329" s="388"/>
      <c r="D329" s="388"/>
      <c r="E329" s="388"/>
      <c r="F329" s="388"/>
      <c r="G329" s="388"/>
      <c r="H329" s="388"/>
      <c r="I329" s="388"/>
      <c r="J329" s="388"/>
      <c r="K329" s="388"/>
      <c r="L329" s="388"/>
      <c r="M329" s="388"/>
      <c r="N329" s="388"/>
      <c r="O329" s="389"/>
      <c r="P329" s="387" t="s">
        <v>605</v>
      </c>
      <c r="Q329" s="388"/>
      <c r="R329" s="389"/>
    </row>
    <row r="330" spans="1:18" ht="13.8" thickBot="1" x14ac:dyDescent="0.3">
      <c r="B330" s="387" t="s">
        <v>604</v>
      </c>
      <c r="C330" s="388"/>
      <c r="D330" s="388"/>
      <c r="E330" s="388"/>
      <c r="F330" s="388"/>
      <c r="G330" s="388"/>
      <c r="H330" s="388"/>
      <c r="I330" s="388"/>
      <c r="J330" s="388"/>
      <c r="K330" s="388"/>
      <c r="L330" s="388"/>
      <c r="M330" s="388"/>
      <c r="N330" s="388"/>
      <c r="O330" s="389"/>
      <c r="P330" s="387" t="s">
        <v>606</v>
      </c>
      <c r="Q330" s="388"/>
      <c r="R330" s="389"/>
    </row>
    <row r="331" spans="1:18" ht="13.8" thickBot="1" x14ac:dyDescent="0.3">
      <c r="B331" s="416" t="s">
        <v>656</v>
      </c>
      <c r="C331" s="417"/>
      <c r="D331" s="417"/>
      <c r="E331" s="417"/>
      <c r="F331" s="417"/>
      <c r="G331" s="417"/>
      <c r="H331" s="417"/>
      <c r="I331" s="417"/>
      <c r="J331" s="417"/>
      <c r="K331" s="417"/>
      <c r="L331" s="417"/>
      <c r="M331" s="417"/>
      <c r="N331" s="417"/>
      <c r="O331" s="417"/>
      <c r="P331" s="417"/>
      <c r="Q331" s="417"/>
      <c r="R331" s="418"/>
    </row>
    <row r="332" spans="1:18" ht="13.8" thickBot="1" x14ac:dyDescent="0.3">
      <c r="B332" s="382" t="s">
        <v>657</v>
      </c>
      <c r="C332" s="383"/>
      <c r="D332" s="383"/>
      <c r="E332" s="383"/>
      <c r="F332" s="383"/>
      <c r="G332" s="383"/>
      <c r="H332" s="383"/>
      <c r="I332" s="383"/>
      <c r="J332" s="383"/>
      <c r="K332" s="383"/>
      <c r="L332" s="383"/>
      <c r="M332" s="383"/>
      <c r="N332" s="383"/>
      <c r="O332" s="384"/>
      <c r="P332" s="250"/>
      <c r="Q332" s="249"/>
      <c r="R332" s="249"/>
    </row>
    <row r="333" spans="1:18" ht="13.2" customHeight="1" x14ac:dyDescent="0.25">
      <c r="B333" s="366">
        <v>1</v>
      </c>
      <c r="C333" s="366" t="s">
        <v>117</v>
      </c>
      <c r="D333" s="386" t="s">
        <v>609</v>
      </c>
      <c r="E333" s="386" t="s">
        <v>89</v>
      </c>
      <c r="F333" s="386" t="s">
        <v>168</v>
      </c>
      <c r="G333" s="62">
        <v>5.2</v>
      </c>
      <c r="H333" s="62">
        <v>7.86</v>
      </c>
      <c r="I333" s="386" t="s">
        <v>620</v>
      </c>
      <c r="J333" s="386" t="s">
        <v>317</v>
      </c>
      <c r="K333" s="237">
        <v>45084</v>
      </c>
      <c r="L333" s="242" t="s">
        <v>628</v>
      </c>
      <c r="M333" s="229">
        <v>36.819200000000002</v>
      </c>
      <c r="N333" s="396"/>
      <c r="O333" s="392"/>
      <c r="P333" s="167" t="s">
        <v>2</v>
      </c>
      <c r="Q333" s="234"/>
      <c r="R333" s="234"/>
    </row>
    <row r="334" spans="1:18" ht="13.2" customHeight="1" x14ac:dyDescent="0.25">
      <c r="B334" s="403"/>
      <c r="C334" s="403"/>
      <c r="D334" s="404"/>
      <c r="E334" s="404"/>
      <c r="F334" s="404"/>
      <c r="G334" s="56">
        <v>5.2</v>
      </c>
      <c r="H334" s="56">
        <v>7.86</v>
      </c>
      <c r="I334" s="404"/>
      <c r="J334" s="404"/>
      <c r="K334" s="189">
        <v>45084</v>
      </c>
      <c r="L334" s="241" t="s">
        <v>629</v>
      </c>
      <c r="M334" s="204">
        <v>36.715800000000002</v>
      </c>
      <c r="N334" s="369"/>
      <c r="O334" s="390"/>
      <c r="P334" s="167" t="s">
        <v>2</v>
      </c>
      <c r="Q334" s="234"/>
      <c r="R334" s="234"/>
    </row>
    <row r="335" spans="1:18" ht="13.2" customHeight="1" x14ac:dyDescent="0.25">
      <c r="B335" s="403">
        <v>2</v>
      </c>
      <c r="C335" s="403" t="s">
        <v>117</v>
      </c>
      <c r="D335" s="404" t="s">
        <v>609</v>
      </c>
      <c r="E335" s="404" t="s">
        <v>89</v>
      </c>
      <c r="F335" s="404" t="s">
        <v>168</v>
      </c>
      <c r="G335" s="56">
        <v>5.2</v>
      </c>
      <c r="H335" s="56">
        <v>7.86</v>
      </c>
      <c r="I335" s="404" t="s">
        <v>621</v>
      </c>
      <c r="J335" s="404" t="s">
        <v>317</v>
      </c>
      <c r="K335" s="189">
        <v>45083</v>
      </c>
      <c r="L335" s="241" t="s">
        <v>630</v>
      </c>
      <c r="M335" s="204">
        <v>36.759799999999998</v>
      </c>
      <c r="N335" s="247"/>
      <c r="O335" s="247"/>
      <c r="P335" s="167" t="s">
        <v>2</v>
      </c>
      <c r="Q335" s="247"/>
      <c r="R335" s="247"/>
    </row>
    <row r="336" spans="1:18" ht="13.2" customHeight="1" x14ac:dyDescent="0.25">
      <c r="B336" s="403"/>
      <c r="C336" s="403"/>
      <c r="D336" s="404"/>
      <c r="E336" s="404"/>
      <c r="F336" s="404"/>
      <c r="G336" s="56">
        <v>5.2</v>
      </c>
      <c r="H336" s="56">
        <v>7.86</v>
      </c>
      <c r="I336" s="404"/>
      <c r="J336" s="404"/>
      <c r="K336" s="189">
        <v>45083</v>
      </c>
      <c r="L336" s="241" t="s">
        <v>631</v>
      </c>
      <c r="M336" s="204">
        <v>36.877499999999998</v>
      </c>
      <c r="N336" s="247"/>
      <c r="O336" s="247"/>
      <c r="P336" s="167" t="s">
        <v>2</v>
      </c>
      <c r="Q336" s="247"/>
      <c r="R336" s="247"/>
    </row>
    <row r="337" spans="2:18" ht="13.2" customHeight="1" x14ac:dyDescent="0.25">
      <c r="B337" s="403">
        <v>3</v>
      </c>
      <c r="C337" s="403" t="s">
        <v>610</v>
      </c>
      <c r="D337" s="404" t="s">
        <v>609</v>
      </c>
      <c r="E337" s="404" t="s">
        <v>89</v>
      </c>
      <c r="F337" s="404" t="s">
        <v>168</v>
      </c>
      <c r="G337" s="56">
        <v>5.2</v>
      </c>
      <c r="H337" s="56">
        <v>7.86</v>
      </c>
      <c r="I337" s="404" t="s">
        <v>622</v>
      </c>
      <c r="J337" s="404" t="s">
        <v>317</v>
      </c>
      <c r="K337" s="189">
        <v>45084</v>
      </c>
      <c r="L337" s="241" t="s">
        <v>632</v>
      </c>
      <c r="M337" s="204">
        <v>37.457500000000003</v>
      </c>
      <c r="N337" s="247"/>
      <c r="O337" s="247"/>
      <c r="P337" s="167" t="s">
        <v>2</v>
      </c>
      <c r="Q337" s="247"/>
      <c r="R337" s="247"/>
    </row>
    <row r="338" spans="2:18" ht="13.2" customHeight="1" x14ac:dyDescent="0.25">
      <c r="B338" s="403"/>
      <c r="C338" s="403"/>
      <c r="D338" s="404"/>
      <c r="E338" s="404"/>
      <c r="F338" s="404"/>
      <c r="G338" s="56">
        <v>5.2</v>
      </c>
      <c r="H338" s="56">
        <v>7.86</v>
      </c>
      <c r="I338" s="404"/>
      <c r="J338" s="404"/>
      <c r="K338" s="189">
        <v>45084</v>
      </c>
      <c r="L338" s="241" t="s">
        <v>633</v>
      </c>
      <c r="M338" s="204">
        <v>36.8337</v>
      </c>
      <c r="N338" s="247"/>
      <c r="O338" s="247"/>
      <c r="P338" s="167" t="s">
        <v>2</v>
      </c>
      <c r="Q338" s="247"/>
      <c r="R338" s="247"/>
    </row>
    <row r="339" spans="2:18" ht="13.2" customHeight="1" x14ac:dyDescent="0.25">
      <c r="B339" s="403">
        <v>4</v>
      </c>
      <c r="C339" s="403" t="s">
        <v>611</v>
      </c>
      <c r="D339" s="404" t="s">
        <v>609</v>
      </c>
      <c r="E339" s="404" t="s">
        <v>89</v>
      </c>
      <c r="F339" s="404" t="s">
        <v>168</v>
      </c>
      <c r="G339" s="56">
        <v>5.2</v>
      </c>
      <c r="H339" s="56">
        <v>7.86</v>
      </c>
      <c r="I339" s="404" t="s">
        <v>621</v>
      </c>
      <c r="J339" s="404" t="s">
        <v>317</v>
      </c>
      <c r="K339" s="189">
        <v>45089</v>
      </c>
      <c r="L339" s="241" t="s">
        <v>634</v>
      </c>
      <c r="M339" s="204">
        <v>37.819200000000002</v>
      </c>
      <c r="N339" s="247"/>
      <c r="O339" s="247"/>
      <c r="P339" s="167" t="s">
        <v>2</v>
      </c>
      <c r="Q339" s="247"/>
      <c r="R339" s="247"/>
    </row>
    <row r="340" spans="2:18" ht="13.2" customHeight="1" x14ac:dyDescent="0.25">
      <c r="B340" s="403"/>
      <c r="C340" s="403"/>
      <c r="D340" s="404"/>
      <c r="E340" s="404"/>
      <c r="F340" s="404"/>
      <c r="G340" s="56">
        <v>5.2</v>
      </c>
      <c r="H340" s="56">
        <v>7.86</v>
      </c>
      <c r="I340" s="404"/>
      <c r="J340" s="404"/>
      <c r="K340" s="189">
        <v>45089</v>
      </c>
      <c r="L340" s="241" t="s">
        <v>635</v>
      </c>
      <c r="M340" s="204">
        <v>36.986600000000003</v>
      </c>
      <c r="N340" s="247"/>
      <c r="O340" s="247"/>
      <c r="P340" s="167" t="s">
        <v>2</v>
      </c>
      <c r="Q340" s="247"/>
      <c r="R340" s="247"/>
    </row>
    <row r="341" spans="2:18" ht="13.2" customHeight="1" x14ac:dyDescent="0.25">
      <c r="B341" s="403">
        <v>5</v>
      </c>
      <c r="C341" s="403" t="s">
        <v>612</v>
      </c>
      <c r="D341" s="404" t="s">
        <v>609</v>
      </c>
      <c r="E341" s="404" t="s">
        <v>89</v>
      </c>
      <c r="F341" s="404" t="s">
        <v>168</v>
      </c>
      <c r="G341" s="56">
        <v>5.2</v>
      </c>
      <c r="H341" s="56">
        <v>7.86</v>
      </c>
      <c r="I341" s="404" t="s">
        <v>623</v>
      </c>
      <c r="J341" s="404" t="s">
        <v>271</v>
      </c>
      <c r="K341" s="189"/>
      <c r="L341" s="241" t="s">
        <v>636</v>
      </c>
      <c r="M341" s="244" t="s">
        <v>627</v>
      </c>
      <c r="N341" s="247"/>
      <c r="O341" s="247"/>
      <c r="P341" s="167" t="s">
        <v>2</v>
      </c>
      <c r="Q341" s="247"/>
      <c r="R341" s="247"/>
    </row>
    <row r="342" spans="2:18" ht="13.2" customHeight="1" x14ac:dyDescent="0.25">
      <c r="B342" s="403"/>
      <c r="C342" s="403"/>
      <c r="D342" s="404"/>
      <c r="E342" s="404"/>
      <c r="F342" s="404"/>
      <c r="G342" s="56">
        <v>5.2</v>
      </c>
      <c r="H342" s="56">
        <v>7.86</v>
      </c>
      <c r="I342" s="404"/>
      <c r="J342" s="404"/>
      <c r="K342" s="189"/>
      <c r="L342" s="241" t="s">
        <v>637</v>
      </c>
      <c r="M342" s="244" t="s">
        <v>627</v>
      </c>
      <c r="N342" s="247"/>
      <c r="O342" s="247"/>
      <c r="P342" s="167" t="s">
        <v>2</v>
      </c>
      <c r="Q342" s="247"/>
      <c r="R342" s="247"/>
    </row>
    <row r="343" spans="2:18" ht="13.2" customHeight="1" x14ac:dyDescent="0.25">
      <c r="B343" s="403">
        <v>6</v>
      </c>
      <c r="C343" s="403" t="s">
        <v>613</v>
      </c>
      <c r="D343" s="404" t="s">
        <v>609</v>
      </c>
      <c r="E343" s="404" t="s">
        <v>89</v>
      </c>
      <c r="F343" s="404" t="s">
        <v>168</v>
      </c>
      <c r="G343" s="56">
        <v>5.2</v>
      </c>
      <c r="H343" s="56">
        <v>7.86</v>
      </c>
      <c r="I343" s="404" t="s">
        <v>622</v>
      </c>
      <c r="J343" s="404" t="s">
        <v>271</v>
      </c>
      <c r="K343" s="189">
        <v>45085</v>
      </c>
      <c r="L343" s="241" t="s">
        <v>638</v>
      </c>
      <c r="M343" s="204">
        <v>37.019100000000002</v>
      </c>
      <c r="N343" s="247"/>
      <c r="O343" s="247"/>
      <c r="P343" s="167" t="s">
        <v>2</v>
      </c>
      <c r="Q343" s="247"/>
      <c r="R343" s="247"/>
    </row>
    <row r="344" spans="2:18" ht="13.2" customHeight="1" x14ac:dyDescent="0.25">
      <c r="B344" s="403"/>
      <c r="C344" s="403"/>
      <c r="D344" s="404"/>
      <c r="E344" s="404"/>
      <c r="F344" s="404"/>
      <c r="G344" s="56">
        <v>5.2</v>
      </c>
      <c r="H344" s="56">
        <v>7.86</v>
      </c>
      <c r="I344" s="404"/>
      <c r="J344" s="404"/>
      <c r="K344" s="189">
        <v>45085</v>
      </c>
      <c r="L344" s="241" t="s">
        <v>639</v>
      </c>
      <c r="M344" s="204">
        <v>36.929699999999997</v>
      </c>
      <c r="N344" s="247"/>
      <c r="O344" s="247"/>
      <c r="P344" s="167" t="s">
        <v>2</v>
      </c>
      <c r="Q344" s="247"/>
      <c r="R344" s="247"/>
    </row>
    <row r="345" spans="2:18" ht="13.2" customHeight="1" x14ac:dyDescent="0.25">
      <c r="B345" s="403">
        <v>7</v>
      </c>
      <c r="C345" s="403" t="s">
        <v>614</v>
      </c>
      <c r="D345" s="404" t="s">
        <v>609</v>
      </c>
      <c r="E345" s="404" t="s">
        <v>89</v>
      </c>
      <c r="F345" s="404" t="s">
        <v>168</v>
      </c>
      <c r="G345" s="56">
        <v>5.2</v>
      </c>
      <c r="H345" s="56">
        <v>7.86</v>
      </c>
      <c r="I345" s="404" t="s">
        <v>621</v>
      </c>
      <c r="J345" s="404" t="s">
        <v>317</v>
      </c>
      <c r="K345" s="189">
        <v>45085</v>
      </c>
      <c r="L345" s="241" t="s">
        <v>640</v>
      </c>
      <c r="M345" s="204">
        <v>37.007399999999997</v>
      </c>
      <c r="N345" s="247"/>
      <c r="O345" s="247"/>
      <c r="P345" s="167" t="s">
        <v>2</v>
      </c>
      <c r="Q345" s="247"/>
      <c r="R345" s="247"/>
    </row>
    <row r="346" spans="2:18" ht="13.2" customHeight="1" x14ac:dyDescent="0.25">
      <c r="B346" s="403"/>
      <c r="C346" s="403"/>
      <c r="D346" s="404"/>
      <c r="E346" s="404"/>
      <c r="F346" s="404"/>
      <c r="G346" s="56">
        <v>5.2</v>
      </c>
      <c r="H346" s="56">
        <v>7.86</v>
      </c>
      <c r="I346" s="404"/>
      <c r="J346" s="404"/>
      <c r="K346" s="189">
        <v>45085</v>
      </c>
      <c r="L346" s="241" t="s">
        <v>641</v>
      </c>
      <c r="M346" s="204">
        <v>36.986600000000003</v>
      </c>
      <c r="N346" s="247"/>
      <c r="O346" s="247"/>
      <c r="P346" s="167" t="s">
        <v>2</v>
      </c>
      <c r="Q346" s="247"/>
      <c r="R346" s="247"/>
    </row>
    <row r="347" spans="2:18" ht="13.2" customHeight="1" x14ac:dyDescent="0.25">
      <c r="B347" s="403">
        <v>8</v>
      </c>
      <c r="C347" s="403" t="s">
        <v>615</v>
      </c>
      <c r="D347" s="404" t="s">
        <v>609</v>
      </c>
      <c r="E347" s="404" t="s">
        <v>89</v>
      </c>
      <c r="F347" s="404" t="s">
        <v>168</v>
      </c>
      <c r="G347" s="56">
        <v>5.2</v>
      </c>
      <c r="H347" s="56">
        <v>7.86</v>
      </c>
      <c r="I347" s="404" t="s">
        <v>624</v>
      </c>
      <c r="J347" s="404" t="s">
        <v>317</v>
      </c>
      <c r="K347" s="243" t="s">
        <v>627</v>
      </c>
      <c r="L347" s="241" t="s">
        <v>642</v>
      </c>
      <c r="M347" s="244" t="s">
        <v>627</v>
      </c>
      <c r="N347" s="247"/>
      <c r="O347" s="247"/>
      <c r="P347" s="167" t="s">
        <v>2</v>
      </c>
      <c r="Q347" s="247"/>
      <c r="R347" s="247"/>
    </row>
    <row r="348" spans="2:18" ht="13.2" customHeight="1" x14ac:dyDescent="0.25">
      <c r="B348" s="403"/>
      <c r="C348" s="403"/>
      <c r="D348" s="404"/>
      <c r="E348" s="404"/>
      <c r="F348" s="404"/>
      <c r="G348" s="56">
        <v>5.2</v>
      </c>
      <c r="H348" s="56">
        <v>7.86</v>
      </c>
      <c r="I348" s="404"/>
      <c r="J348" s="404"/>
      <c r="K348" s="243" t="s">
        <v>627</v>
      </c>
      <c r="L348" s="241" t="s">
        <v>643</v>
      </c>
      <c r="M348" s="244" t="s">
        <v>627</v>
      </c>
      <c r="N348" s="247"/>
      <c r="O348" s="247"/>
      <c r="P348" s="167" t="s">
        <v>2</v>
      </c>
      <c r="Q348" s="247"/>
      <c r="R348" s="247"/>
    </row>
    <row r="349" spans="2:18" ht="13.2" customHeight="1" x14ac:dyDescent="0.25">
      <c r="B349" s="403">
        <v>9</v>
      </c>
      <c r="C349" s="403" t="s">
        <v>117</v>
      </c>
      <c r="D349" s="404" t="s">
        <v>609</v>
      </c>
      <c r="E349" s="404" t="s">
        <v>341</v>
      </c>
      <c r="F349" s="404" t="s">
        <v>168</v>
      </c>
      <c r="G349" s="404">
        <v>2.5</v>
      </c>
      <c r="H349" s="404">
        <v>7.86</v>
      </c>
      <c r="I349" s="404" t="s">
        <v>625</v>
      </c>
      <c r="J349" s="404" t="s">
        <v>271</v>
      </c>
      <c r="K349" s="189">
        <v>45089</v>
      </c>
      <c r="L349" s="539" t="s">
        <v>644</v>
      </c>
      <c r="M349" s="540">
        <v>17.54</v>
      </c>
      <c r="N349" s="247"/>
      <c r="O349" s="247"/>
      <c r="P349" s="371" t="s">
        <v>2</v>
      </c>
      <c r="Q349" s="247"/>
      <c r="R349" s="247"/>
    </row>
    <row r="350" spans="2:18" ht="13.2" customHeight="1" x14ac:dyDescent="0.25">
      <c r="B350" s="403"/>
      <c r="C350" s="403"/>
      <c r="D350" s="404"/>
      <c r="E350" s="404"/>
      <c r="F350" s="404"/>
      <c r="G350" s="404"/>
      <c r="H350" s="404"/>
      <c r="I350" s="404"/>
      <c r="J350" s="404"/>
      <c r="K350" s="189">
        <v>45089</v>
      </c>
      <c r="L350" s="539"/>
      <c r="M350" s="540"/>
      <c r="N350" s="247"/>
      <c r="O350" s="247"/>
      <c r="P350" s="371"/>
      <c r="Q350" s="247"/>
      <c r="R350" s="247"/>
    </row>
    <row r="351" spans="2:18" ht="13.2" customHeight="1" x14ac:dyDescent="0.25">
      <c r="B351" s="403">
        <v>10</v>
      </c>
      <c r="C351" s="403" t="s">
        <v>614</v>
      </c>
      <c r="D351" s="404" t="s">
        <v>609</v>
      </c>
      <c r="E351" s="404" t="s">
        <v>341</v>
      </c>
      <c r="F351" s="404" t="s">
        <v>168</v>
      </c>
      <c r="G351" s="404">
        <v>2.5</v>
      </c>
      <c r="H351" s="404">
        <v>7.86</v>
      </c>
      <c r="I351" s="404" t="s">
        <v>621</v>
      </c>
      <c r="J351" s="404" t="s">
        <v>271</v>
      </c>
      <c r="K351" s="189">
        <v>45089</v>
      </c>
      <c r="L351" s="539" t="s">
        <v>645</v>
      </c>
      <c r="M351" s="541" t="s">
        <v>627</v>
      </c>
      <c r="N351" s="247"/>
      <c r="O351" s="247"/>
      <c r="P351" s="371" t="s">
        <v>2</v>
      </c>
      <c r="Q351" s="247"/>
      <c r="R351" s="247"/>
    </row>
    <row r="352" spans="2:18" ht="13.2" customHeight="1" x14ac:dyDescent="0.25">
      <c r="B352" s="403"/>
      <c r="C352" s="403"/>
      <c r="D352" s="404"/>
      <c r="E352" s="404"/>
      <c r="F352" s="404"/>
      <c r="G352" s="404"/>
      <c r="H352" s="404"/>
      <c r="I352" s="404"/>
      <c r="J352" s="404"/>
      <c r="K352" s="189">
        <v>45089</v>
      </c>
      <c r="L352" s="539"/>
      <c r="M352" s="541"/>
      <c r="N352" s="247"/>
      <c r="O352" s="247"/>
      <c r="P352" s="371"/>
      <c r="Q352" s="247"/>
      <c r="R352" s="247"/>
    </row>
    <row r="353" spans="2:18" ht="13.2" customHeight="1" x14ac:dyDescent="0.25">
      <c r="B353" s="403">
        <v>11</v>
      </c>
      <c r="C353" s="403" t="s">
        <v>117</v>
      </c>
      <c r="D353" s="404" t="s">
        <v>609</v>
      </c>
      <c r="E353" s="404" t="s">
        <v>89</v>
      </c>
      <c r="F353" s="404" t="s">
        <v>168</v>
      </c>
      <c r="G353" s="56">
        <v>5.2</v>
      </c>
      <c r="H353" s="56">
        <v>7.86</v>
      </c>
      <c r="I353" s="404" t="s">
        <v>621</v>
      </c>
      <c r="J353" s="404" t="s">
        <v>317</v>
      </c>
      <c r="K353" s="189">
        <v>45083</v>
      </c>
      <c r="L353" s="241" t="s">
        <v>646</v>
      </c>
      <c r="M353" s="204">
        <v>36.688800000000001</v>
      </c>
      <c r="N353" s="247"/>
      <c r="O353" s="247"/>
      <c r="P353" s="167" t="s">
        <v>2</v>
      </c>
      <c r="Q353" s="247"/>
      <c r="R353" s="247"/>
    </row>
    <row r="354" spans="2:18" ht="13.2" customHeight="1" x14ac:dyDescent="0.25">
      <c r="B354" s="403"/>
      <c r="C354" s="403"/>
      <c r="D354" s="404"/>
      <c r="E354" s="404"/>
      <c r="F354" s="404"/>
      <c r="G354" s="56">
        <v>5.2</v>
      </c>
      <c r="H354" s="56">
        <v>7.86</v>
      </c>
      <c r="I354" s="404"/>
      <c r="J354" s="404"/>
      <c r="K354" s="189">
        <v>45083</v>
      </c>
      <c r="L354" s="241" t="s">
        <v>647</v>
      </c>
      <c r="M354" s="204">
        <v>36.866500000000002</v>
      </c>
      <c r="N354" s="247"/>
      <c r="O354" s="247"/>
      <c r="P354" s="167" t="s">
        <v>2</v>
      </c>
      <c r="Q354" s="247"/>
      <c r="R354" s="247"/>
    </row>
    <row r="355" spans="2:18" ht="13.2" customHeight="1" x14ac:dyDescent="0.25">
      <c r="B355" s="403">
        <v>12</v>
      </c>
      <c r="C355" s="403" t="s">
        <v>117</v>
      </c>
      <c r="D355" s="404" t="s">
        <v>609</v>
      </c>
      <c r="E355" s="404" t="s">
        <v>89</v>
      </c>
      <c r="F355" s="404" t="s">
        <v>168</v>
      </c>
      <c r="G355" s="56">
        <v>5.2</v>
      </c>
      <c r="H355" s="56">
        <v>7.86</v>
      </c>
      <c r="I355" s="404" t="s">
        <v>622</v>
      </c>
      <c r="J355" s="404" t="s">
        <v>317</v>
      </c>
      <c r="K355" s="189">
        <v>45084</v>
      </c>
      <c r="L355" s="241" t="s">
        <v>648</v>
      </c>
      <c r="M355" s="204">
        <v>36.9863</v>
      </c>
      <c r="N355" s="247"/>
      <c r="O355" s="247"/>
      <c r="P355" s="167" t="s">
        <v>2</v>
      </c>
      <c r="Q355" s="247"/>
      <c r="R355" s="247"/>
    </row>
    <row r="356" spans="2:18" ht="13.2" customHeight="1" x14ac:dyDescent="0.25">
      <c r="B356" s="403"/>
      <c r="C356" s="403"/>
      <c r="D356" s="404"/>
      <c r="E356" s="404"/>
      <c r="F356" s="404"/>
      <c r="G356" s="56">
        <v>5.2</v>
      </c>
      <c r="H356" s="56">
        <v>7.86</v>
      </c>
      <c r="I356" s="404"/>
      <c r="J356" s="404"/>
      <c r="K356" s="189">
        <v>45084</v>
      </c>
      <c r="L356" s="241" t="s">
        <v>649</v>
      </c>
      <c r="M356" s="204">
        <v>36.8245</v>
      </c>
      <c r="N356" s="247"/>
      <c r="O356" s="247"/>
      <c r="P356" s="167" t="s">
        <v>2</v>
      </c>
      <c r="Q356" s="247"/>
      <c r="R356" s="247"/>
    </row>
    <row r="357" spans="2:18" ht="13.2" customHeight="1" x14ac:dyDescent="0.25">
      <c r="B357" s="403">
        <v>13</v>
      </c>
      <c r="C357" s="403" t="s">
        <v>616</v>
      </c>
      <c r="D357" s="404" t="s">
        <v>609</v>
      </c>
      <c r="E357" s="404" t="s">
        <v>89</v>
      </c>
      <c r="F357" s="404" t="s">
        <v>168</v>
      </c>
      <c r="G357" s="56">
        <v>5.2</v>
      </c>
      <c r="H357" s="56">
        <v>7.86</v>
      </c>
      <c r="I357" s="404" t="s">
        <v>621</v>
      </c>
      <c r="J357" s="404" t="s">
        <v>317</v>
      </c>
      <c r="K357" s="189">
        <v>45085</v>
      </c>
      <c r="L357" s="241" t="s">
        <v>650</v>
      </c>
      <c r="M357" s="204">
        <v>36.971499999999999</v>
      </c>
      <c r="N357" s="247"/>
      <c r="O357" s="247"/>
      <c r="P357" s="167" t="s">
        <v>2</v>
      </c>
      <c r="Q357" s="247"/>
      <c r="R357" s="247"/>
    </row>
    <row r="358" spans="2:18" ht="13.2" customHeight="1" x14ac:dyDescent="0.25">
      <c r="B358" s="403"/>
      <c r="C358" s="403"/>
      <c r="D358" s="404"/>
      <c r="E358" s="404"/>
      <c r="F358" s="404"/>
      <c r="G358" s="56">
        <v>5.2</v>
      </c>
      <c r="H358" s="56">
        <v>7.86</v>
      </c>
      <c r="I358" s="404"/>
      <c r="J358" s="404"/>
      <c r="K358" s="189">
        <v>45085</v>
      </c>
      <c r="L358" s="241" t="s">
        <v>651</v>
      </c>
      <c r="M358" s="204">
        <v>36.938200000000002</v>
      </c>
      <c r="N358" s="247"/>
      <c r="O358" s="247"/>
      <c r="P358" s="167" t="s">
        <v>2</v>
      </c>
      <c r="Q358" s="247"/>
      <c r="R358" s="247"/>
    </row>
    <row r="359" spans="2:18" ht="13.2" customHeight="1" x14ac:dyDescent="0.25">
      <c r="B359" s="403">
        <v>14</v>
      </c>
      <c r="C359" s="403" t="s">
        <v>617</v>
      </c>
      <c r="D359" s="404" t="s">
        <v>609</v>
      </c>
      <c r="E359" s="404" t="s">
        <v>89</v>
      </c>
      <c r="F359" s="404" t="s">
        <v>168</v>
      </c>
      <c r="G359" s="56">
        <v>5.2</v>
      </c>
      <c r="H359" s="56">
        <v>7.86</v>
      </c>
      <c r="I359" s="404" t="s">
        <v>621</v>
      </c>
      <c r="J359" s="404" t="s">
        <v>317</v>
      </c>
      <c r="K359" s="189">
        <v>45085</v>
      </c>
      <c r="L359" s="241" t="s">
        <v>652</v>
      </c>
      <c r="M359" s="204">
        <v>37.120100000000001</v>
      </c>
      <c r="N359" s="247"/>
      <c r="O359" s="247"/>
      <c r="P359" s="167" t="s">
        <v>2</v>
      </c>
      <c r="Q359" s="247"/>
      <c r="R359" s="247"/>
    </row>
    <row r="360" spans="2:18" ht="13.2" customHeight="1" x14ac:dyDescent="0.25">
      <c r="B360" s="403"/>
      <c r="C360" s="403"/>
      <c r="D360" s="404"/>
      <c r="E360" s="404"/>
      <c r="F360" s="404"/>
      <c r="G360" s="56">
        <v>5.2</v>
      </c>
      <c r="H360" s="56">
        <v>7.86</v>
      </c>
      <c r="I360" s="404"/>
      <c r="J360" s="404"/>
      <c r="K360" s="189">
        <v>45085</v>
      </c>
      <c r="L360" s="241" t="s">
        <v>653</v>
      </c>
      <c r="M360" s="204">
        <v>36.886099999999999</v>
      </c>
      <c r="N360" s="247"/>
      <c r="O360" s="247"/>
      <c r="P360" s="167" t="s">
        <v>2</v>
      </c>
      <c r="Q360" s="247"/>
      <c r="R360" s="247"/>
    </row>
    <row r="361" spans="2:18" ht="13.2" customHeight="1" x14ac:dyDescent="0.25">
      <c r="B361" s="403">
        <v>15</v>
      </c>
      <c r="C361" s="403" t="s">
        <v>618</v>
      </c>
      <c r="D361" s="404" t="s">
        <v>609</v>
      </c>
      <c r="E361" s="404" t="s">
        <v>89</v>
      </c>
      <c r="F361" s="404" t="s">
        <v>168</v>
      </c>
      <c r="G361" s="56">
        <v>5.2</v>
      </c>
      <c r="H361" s="56">
        <v>7.86</v>
      </c>
      <c r="I361" s="404" t="s">
        <v>626</v>
      </c>
      <c r="J361" s="404" t="s">
        <v>317</v>
      </c>
      <c r="K361" s="243" t="s">
        <v>627</v>
      </c>
      <c r="L361" s="241" t="s">
        <v>654</v>
      </c>
      <c r="M361" s="244" t="s">
        <v>627</v>
      </c>
      <c r="N361" s="247"/>
      <c r="O361" s="247"/>
      <c r="P361" s="167" t="s">
        <v>2</v>
      </c>
      <c r="Q361" s="247"/>
      <c r="R361" s="247"/>
    </row>
    <row r="362" spans="2:18" ht="13.2" customHeight="1" x14ac:dyDescent="0.25">
      <c r="B362" s="403"/>
      <c r="C362" s="403"/>
      <c r="D362" s="404"/>
      <c r="E362" s="404"/>
      <c r="F362" s="404"/>
      <c r="G362" s="56">
        <v>5.2</v>
      </c>
      <c r="H362" s="56">
        <v>7.86</v>
      </c>
      <c r="I362" s="404"/>
      <c r="J362" s="404"/>
      <c r="K362" s="243" t="s">
        <v>627</v>
      </c>
      <c r="L362" s="241" t="s">
        <v>655</v>
      </c>
      <c r="M362" s="244" t="s">
        <v>627</v>
      </c>
      <c r="N362" s="247"/>
      <c r="O362" s="247"/>
      <c r="P362" s="167" t="s">
        <v>2</v>
      </c>
      <c r="Q362" s="247"/>
      <c r="R362" s="247"/>
    </row>
    <row r="363" spans="2:18" ht="13.2" customHeight="1" x14ac:dyDescent="0.25">
      <c r="B363" s="403">
        <v>16</v>
      </c>
      <c r="C363" s="403" t="s">
        <v>619</v>
      </c>
      <c r="D363" s="404" t="s">
        <v>609</v>
      </c>
      <c r="E363" s="404" t="s">
        <v>89</v>
      </c>
      <c r="F363" s="404" t="s">
        <v>168</v>
      </c>
      <c r="G363" s="56">
        <v>5.2</v>
      </c>
      <c r="H363" s="56">
        <v>7.86</v>
      </c>
      <c r="I363" s="404" t="s">
        <v>621</v>
      </c>
      <c r="J363" s="404" t="s">
        <v>317</v>
      </c>
      <c r="K363" s="243" t="s">
        <v>627</v>
      </c>
      <c r="L363" s="243" t="s">
        <v>627</v>
      </c>
      <c r="M363" s="244" t="s">
        <v>627</v>
      </c>
      <c r="N363" s="247"/>
      <c r="O363" s="247"/>
      <c r="P363" s="194" t="s">
        <v>123</v>
      </c>
      <c r="Q363" s="247"/>
      <c r="R363" s="247"/>
    </row>
    <row r="364" spans="2:18" ht="13.2" customHeight="1" thickBot="1" x14ac:dyDescent="0.3">
      <c r="B364" s="365"/>
      <c r="C364" s="365"/>
      <c r="D364" s="385"/>
      <c r="E364" s="385"/>
      <c r="F364" s="385"/>
      <c r="G364" s="60">
        <v>5.2</v>
      </c>
      <c r="H364" s="60">
        <v>7.86</v>
      </c>
      <c r="I364" s="385"/>
      <c r="J364" s="385"/>
      <c r="K364" s="248" t="s">
        <v>627</v>
      </c>
      <c r="L364" s="248" t="s">
        <v>627</v>
      </c>
      <c r="M364" s="245" t="s">
        <v>627</v>
      </c>
      <c r="N364" s="251"/>
      <c r="O364" s="251"/>
      <c r="P364" s="194" t="s">
        <v>123</v>
      </c>
      <c r="Q364" s="247"/>
      <c r="R364" s="247"/>
    </row>
    <row r="365" spans="2:18" ht="13.8" thickBot="1" x14ac:dyDescent="0.3">
      <c r="B365" s="382" t="s">
        <v>658</v>
      </c>
      <c r="C365" s="383"/>
      <c r="D365" s="383"/>
      <c r="E365" s="383"/>
      <c r="F365" s="383"/>
      <c r="G365" s="383"/>
      <c r="H365" s="383"/>
      <c r="I365" s="383"/>
      <c r="J365" s="383"/>
      <c r="K365" s="383"/>
      <c r="L365" s="383"/>
      <c r="M365" s="383"/>
      <c r="N365" s="383"/>
      <c r="O365" s="384"/>
      <c r="P365" s="235"/>
      <c r="Q365" s="233"/>
      <c r="R365" s="233"/>
    </row>
    <row r="366" spans="2:18" x14ac:dyDescent="0.25">
      <c r="B366" s="363">
        <v>17</v>
      </c>
      <c r="C366" s="365" t="s">
        <v>659</v>
      </c>
      <c r="D366" s="385" t="s">
        <v>609</v>
      </c>
      <c r="E366" s="385" t="s">
        <v>89</v>
      </c>
      <c r="F366" s="385" t="s">
        <v>168</v>
      </c>
      <c r="G366" s="56">
        <v>5.2</v>
      </c>
      <c r="H366" s="56">
        <v>7.86</v>
      </c>
      <c r="I366" s="385" t="s">
        <v>660</v>
      </c>
      <c r="J366" s="385" t="s">
        <v>317</v>
      </c>
      <c r="K366" s="189">
        <v>45236</v>
      </c>
      <c r="L366" s="241" t="s">
        <v>663</v>
      </c>
      <c r="M366" s="204">
        <v>36.827599999999997</v>
      </c>
      <c r="N366" s="369"/>
      <c r="O366" s="370"/>
      <c r="P366" s="167" t="s">
        <v>2</v>
      </c>
      <c r="Q366" s="176"/>
      <c r="R366" s="176"/>
    </row>
    <row r="367" spans="2:18" x14ac:dyDescent="0.25">
      <c r="B367" s="364"/>
      <c r="C367" s="366"/>
      <c r="D367" s="386"/>
      <c r="E367" s="386"/>
      <c r="F367" s="386"/>
      <c r="G367" s="56">
        <v>5.2</v>
      </c>
      <c r="H367" s="56">
        <v>7.86</v>
      </c>
      <c r="I367" s="386"/>
      <c r="J367" s="386"/>
      <c r="K367" s="189">
        <v>45236</v>
      </c>
      <c r="L367" s="242" t="s">
        <v>662</v>
      </c>
      <c r="M367" s="229">
        <v>37.177100000000003</v>
      </c>
      <c r="N367" s="369"/>
      <c r="O367" s="370"/>
      <c r="P367" s="167" t="s">
        <v>2</v>
      </c>
      <c r="Q367" s="176"/>
      <c r="R367" s="176"/>
    </row>
    <row r="368" spans="2:18" x14ac:dyDescent="0.25">
      <c r="B368" s="363">
        <v>18</v>
      </c>
      <c r="C368" s="365" t="s">
        <v>661</v>
      </c>
      <c r="D368" s="385" t="s">
        <v>609</v>
      </c>
      <c r="E368" s="385" t="s">
        <v>89</v>
      </c>
      <c r="F368" s="385" t="s">
        <v>168</v>
      </c>
      <c r="G368" s="56">
        <v>5.2</v>
      </c>
      <c r="H368" s="56">
        <v>7.86</v>
      </c>
      <c r="I368" s="385" t="s">
        <v>660</v>
      </c>
      <c r="J368" s="385" t="s">
        <v>317</v>
      </c>
      <c r="K368" s="189">
        <v>45236</v>
      </c>
      <c r="L368" s="241" t="s">
        <v>664</v>
      </c>
      <c r="M368" s="204">
        <v>37.3536</v>
      </c>
      <c r="N368" s="369"/>
      <c r="O368" s="370"/>
      <c r="P368" s="167" t="s">
        <v>2</v>
      </c>
      <c r="Q368" s="247"/>
      <c r="R368" s="247"/>
    </row>
    <row r="369" spans="2:18" ht="13.8" thickBot="1" x14ac:dyDescent="0.3">
      <c r="B369" s="364"/>
      <c r="C369" s="366"/>
      <c r="D369" s="386"/>
      <c r="E369" s="386"/>
      <c r="F369" s="386"/>
      <c r="G369" s="56">
        <v>5.2</v>
      </c>
      <c r="H369" s="56">
        <v>7.86</v>
      </c>
      <c r="I369" s="386"/>
      <c r="J369" s="386"/>
      <c r="K369" s="189">
        <v>45236</v>
      </c>
      <c r="L369" s="242" t="s">
        <v>665</v>
      </c>
      <c r="M369" s="229">
        <v>36.808599999999998</v>
      </c>
      <c r="N369" s="369"/>
      <c r="O369" s="370"/>
      <c r="P369" s="167" t="s">
        <v>2</v>
      </c>
      <c r="Q369" s="247"/>
      <c r="R369" s="247"/>
    </row>
    <row r="370" spans="2:18" ht="13.8" thickBot="1" x14ac:dyDescent="0.3">
      <c r="B370" s="382" t="s">
        <v>670</v>
      </c>
      <c r="C370" s="383"/>
      <c r="D370" s="383"/>
      <c r="E370" s="383"/>
      <c r="F370" s="383"/>
      <c r="G370" s="383"/>
      <c r="H370" s="383"/>
      <c r="I370" s="383"/>
      <c r="J370" s="383"/>
      <c r="K370" s="383"/>
      <c r="L370" s="383"/>
      <c r="M370" s="383"/>
      <c r="N370" s="383"/>
      <c r="O370" s="384"/>
      <c r="P370" s="252"/>
      <c r="Q370" s="247"/>
      <c r="R370" s="247"/>
    </row>
    <row r="371" spans="2:18" x14ac:dyDescent="0.25">
      <c r="B371" s="363">
        <v>19</v>
      </c>
      <c r="C371" s="365" t="s">
        <v>666</v>
      </c>
      <c r="D371" s="385" t="s">
        <v>668</v>
      </c>
      <c r="E371" s="385" t="s">
        <v>341</v>
      </c>
      <c r="F371" s="385" t="s">
        <v>168</v>
      </c>
      <c r="G371" s="56">
        <v>2.5</v>
      </c>
      <c r="H371" s="56">
        <v>7.86</v>
      </c>
      <c r="I371" s="385" t="s">
        <v>669</v>
      </c>
      <c r="J371" s="385" t="s">
        <v>317</v>
      </c>
      <c r="K371" s="374" t="s">
        <v>627</v>
      </c>
      <c r="L371" s="376" t="s">
        <v>671</v>
      </c>
      <c r="M371" s="374" t="s">
        <v>627</v>
      </c>
      <c r="N371" s="369"/>
      <c r="O371" s="370"/>
      <c r="P371" s="372" t="s">
        <v>2</v>
      </c>
      <c r="Q371" s="247"/>
      <c r="R371" s="247"/>
    </row>
    <row r="372" spans="2:18" x14ac:dyDescent="0.25">
      <c r="B372" s="364"/>
      <c r="C372" s="366"/>
      <c r="D372" s="386"/>
      <c r="E372" s="386"/>
      <c r="F372" s="386"/>
      <c r="G372" s="56">
        <v>2.5</v>
      </c>
      <c r="H372" s="56">
        <v>7.86</v>
      </c>
      <c r="I372" s="386"/>
      <c r="J372" s="386"/>
      <c r="K372" s="375"/>
      <c r="L372" s="377"/>
      <c r="M372" s="375"/>
      <c r="N372" s="369"/>
      <c r="O372" s="370"/>
      <c r="P372" s="373"/>
      <c r="Q372" s="247"/>
      <c r="R372" s="247"/>
    </row>
    <row r="373" spans="2:18" x14ac:dyDescent="0.25">
      <c r="B373" s="363">
        <v>20</v>
      </c>
      <c r="C373" s="365" t="s">
        <v>667</v>
      </c>
      <c r="D373" s="385" t="s">
        <v>668</v>
      </c>
      <c r="E373" s="385" t="s">
        <v>341</v>
      </c>
      <c r="F373" s="385" t="s">
        <v>168</v>
      </c>
      <c r="G373" s="56">
        <v>2.5</v>
      </c>
      <c r="H373" s="56">
        <v>7.86</v>
      </c>
      <c r="I373" s="385" t="s">
        <v>669</v>
      </c>
      <c r="J373" s="385" t="s">
        <v>317</v>
      </c>
      <c r="K373" s="378" t="s">
        <v>627</v>
      </c>
      <c r="L373" s="380" t="s">
        <v>672</v>
      </c>
      <c r="M373" s="378" t="s">
        <v>627</v>
      </c>
      <c r="N373" s="369"/>
      <c r="O373" s="370"/>
      <c r="P373" s="372" t="s">
        <v>2</v>
      </c>
      <c r="Q373" s="247"/>
      <c r="R373" s="247"/>
    </row>
    <row r="374" spans="2:18" ht="13.8" thickBot="1" x14ac:dyDescent="0.3">
      <c r="B374" s="364"/>
      <c r="C374" s="366"/>
      <c r="D374" s="386"/>
      <c r="E374" s="386"/>
      <c r="F374" s="386"/>
      <c r="G374" s="56">
        <v>2.5</v>
      </c>
      <c r="H374" s="56">
        <v>7.86</v>
      </c>
      <c r="I374" s="386"/>
      <c r="J374" s="386"/>
      <c r="K374" s="379"/>
      <c r="L374" s="381"/>
      <c r="M374" s="379"/>
      <c r="N374" s="369"/>
      <c r="O374" s="370"/>
      <c r="P374" s="373"/>
      <c r="Q374" s="247"/>
      <c r="R374" s="247"/>
    </row>
    <row r="375" spans="2:18" ht="13.8" thickBot="1" x14ac:dyDescent="0.3">
      <c r="B375" s="382" t="s">
        <v>683</v>
      </c>
      <c r="C375" s="383"/>
      <c r="D375" s="383"/>
      <c r="E375" s="383"/>
      <c r="F375" s="383"/>
      <c r="G375" s="383"/>
      <c r="H375" s="383"/>
      <c r="I375" s="383"/>
      <c r="J375" s="383"/>
      <c r="K375" s="383"/>
      <c r="L375" s="383"/>
      <c r="M375" s="383"/>
      <c r="N375" s="383"/>
      <c r="O375" s="384"/>
      <c r="P375" s="252"/>
      <c r="Q375" s="247"/>
      <c r="R375" s="247"/>
    </row>
    <row r="376" spans="2:18" x14ac:dyDescent="0.25">
      <c r="B376" s="363">
        <v>21</v>
      </c>
      <c r="C376" s="365" t="s">
        <v>673</v>
      </c>
      <c r="D376" s="367" t="s">
        <v>678</v>
      </c>
      <c r="E376" s="385" t="s">
        <v>89</v>
      </c>
      <c r="F376" s="385" t="s">
        <v>168</v>
      </c>
      <c r="G376" s="56">
        <v>5.2</v>
      </c>
      <c r="H376" s="56">
        <v>7.86</v>
      </c>
      <c r="I376" s="385" t="s">
        <v>669</v>
      </c>
      <c r="J376" s="385" t="s">
        <v>317</v>
      </c>
      <c r="K376" s="189">
        <v>45236</v>
      </c>
      <c r="L376" s="241" t="s">
        <v>681</v>
      </c>
      <c r="M376" s="204">
        <v>36.826999999999998</v>
      </c>
      <c r="N376" s="369"/>
      <c r="O376" s="370"/>
      <c r="P376" s="167" t="s">
        <v>2</v>
      </c>
      <c r="Q376" s="247"/>
      <c r="R376" s="247"/>
    </row>
    <row r="377" spans="2:18" x14ac:dyDescent="0.25">
      <c r="B377" s="364"/>
      <c r="C377" s="366"/>
      <c r="D377" s="368"/>
      <c r="E377" s="386"/>
      <c r="F377" s="386"/>
      <c r="G377" s="56">
        <v>5.2</v>
      </c>
      <c r="H377" s="56">
        <v>7.86</v>
      </c>
      <c r="I377" s="386"/>
      <c r="J377" s="386"/>
      <c r="K377" s="189">
        <v>45236</v>
      </c>
      <c r="L377" s="242" t="s">
        <v>682</v>
      </c>
      <c r="M377" s="229">
        <v>37.262799999999999</v>
      </c>
      <c r="N377" s="369"/>
      <c r="O377" s="370"/>
      <c r="P377" s="167" t="s">
        <v>2</v>
      </c>
      <c r="Q377" s="247"/>
      <c r="R377" s="247"/>
    </row>
    <row r="378" spans="2:18" x14ac:dyDescent="0.25">
      <c r="B378" s="363">
        <v>22</v>
      </c>
      <c r="C378" s="365" t="s">
        <v>674</v>
      </c>
      <c r="D378" s="367" t="s">
        <v>609</v>
      </c>
      <c r="E378" s="243" t="s">
        <v>627</v>
      </c>
      <c r="F378" s="243" t="s">
        <v>627</v>
      </c>
      <c r="G378" s="243" t="s">
        <v>627</v>
      </c>
      <c r="H378" s="243" t="s">
        <v>627</v>
      </c>
      <c r="I378" s="243" t="s">
        <v>627</v>
      </c>
      <c r="J378" s="243" t="s">
        <v>627</v>
      </c>
      <c r="K378" s="243" t="s">
        <v>627</v>
      </c>
      <c r="L378" s="243" t="s">
        <v>627</v>
      </c>
      <c r="M378" s="243" t="s">
        <v>627</v>
      </c>
      <c r="N378" s="369"/>
      <c r="O378" s="370"/>
      <c r="P378" s="194" t="s">
        <v>123</v>
      </c>
      <c r="Q378" s="247"/>
      <c r="R378" s="247"/>
    </row>
    <row r="379" spans="2:18" x14ac:dyDescent="0.25">
      <c r="B379" s="364"/>
      <c r="C379" s="366"/>
      <c r="D379" s="368"/>
      <c r="E379" s="243" t="s">
        <v>627</v>
      </c>
      <c r="F379" s="243" t="s">
        <v>627</v>
      </c>
      <c r="G379" s="243" t="s">
        <v>627</v>
      </c>
      <c r="H379" s="243" t="s">
        <v>627</v>
      </c>
      <c r="I379" s="243" t="s">
        <v>627</v>
      </c>
      <c r="J379" s="243" t="s">
        <v>627</v>
      </c>
      <c r="K379" s="243" t="s">
        <v>627</v>
      </c>
      <c r="L379" s="243" t="s">
        <v>627</v>
      </c>
      <c r="M379" s="243" t="s">
        <v>627</v>
      </c>
      <c r="N379" s="369"/>
      <c r="O379" s="370"/>
      <c r="P379" s="194" t="s">
        <v>123</v>
      </c>
      <c r="Q379" s="247"/>
      <c r="R379" s="247"/>
    </row>
    <row r="380" spans="2:18" x14ac:dyDescent="0.25">
      <c r="B380" s="363">
        <v>23</v>
      </c>
      <c r="C380" s="365" t="s">
        <v>675</v>
      </c>
      <c r="D380" s="367" t="s">
        <v>679</v>
      </c>
      <c r="E380" s="243" t="s">
        <v>627</v>
      </c>
      <c r="F380" s="243" t="s">
        <v>627</v>
      </c>
      <c r="G380" s="243" t="s">
        <v>627</v>
      </c>
      <c r="H380" s="243" t="s">
        <v>627</v>
      </c>
      <c r="I380" s="243" t="s">
        <v>627</v>
      </c>
      <c r="J380" s="243" t="s">
        <v>627</v>
      </c>
      <c r="K380" s="243" t="s">
        <v>627</v>
      </c>
      <c r="L380" s="243" t="s">
        <v>627</v>
      </c>
      <c r="M380" s="243" t="s">
        <v>627</v>
      </c>
      <c r="N380" s="369"/>
      <c r="O380" s="370"/>
      <c r="P380" s="194" t="s">
        <v>123</v>
      </c>
      <c r="Q380" s="247"/>
      <c r="R380" s="247"/>
    </row>
    <row r="381" spans="2:18" x14ac:dyDescent="0.25">
      <c r="B381" s="364"/>
      <c r="C381" s="366"/>
      <c r="D381" s="368"/>
      <c r="E381" s="243" t="s">
        <v>627</v>
      </c>
      <c r="F381" s="243" t="s">
        <v>627</v>
      </c>
      <c r="G381" s="243" t="s">
        <v>627</v>
      </c>
      <c r="H381" s="243" t="s">
        <v>627</v>
      </c>
      <c r="I381" s="243" t="s">
        <v>627</v>
      </c>
      <c r="J381" s="243" t="s">
        <v>627</v>
      </c>
      <c r="K381" s="243" t="s">
        <v>627</v>
      </c>
      <c r="L381" s="243" t="s">
        <v>627</v>
      </c>
      <c r="M381" s="243" t="s">
        <v>627</v>
      </c>
      <c r="N381" s="369"/>
      <c r="O381" s="370"/>
      <c r="P381" s="194" t="s">
        <v>123</v>
      </c>
      <c r="Q381" s="247"/>
      <c r="R381" s="247"/>
    </row>
    <row r="382" spans="2:18" ht="13.2" customHeight="1" x14ac:dyDescent="0.25">
      <c r="B382" s="363">
        <v>24</v>
      </c>
      <c r="C382" s="365" t="s">
        <v>676</v>
      </c>
      <c r="D382" s="367" t="s">
        <v>680</v>
      </c>
      <c r="E382" s="243" t="s">
        <v>627</v>
      </c>
      <c r="F382" s="243" t="s">
        <v>627</v>
      </c>
      <c r="G382" s="243" t="s">
        <v>627</v>
      </c>
      <c r="H382" s="243" t="s">
        <v>627</v>
      </c>
      <c r="I382" s="243" t="s">
        <v>627</v>
      </c>
      <c r="J382" s="243" t="s">
        <v>627</v>
      </c>
      <c r="K382" s="243" t="s">
        <v>627</v>
      </c>
      <c r="L382" s="243" t="s">
        <v>627</v>
      </c>
      <c r="M382" s="243" t="s">
        <v>627</v>
      </c>
      <c r="N382" s="369"/>
      <c r="O382" s="370"/>
      <c r="P382" s="194" t="s">
        <v>123</v>
      </c>
      <c r="Q382" s="247"/>
      <c r="R382" s="247"/>
    </row>
    <row r="383" spans="2:18" x14ac:dyDescent="0.25">
      <c r="B383" s="364"/>
      <c r="C383" s="366"/>
      <c r="D383" s="368"/>
      <c r="E383" s="243" t="s">
        <v>627</v>
      </c>
      <c r="F383" s="243" t="s">
        <v>627</v>
      </c>
      <c r="G383" s="243" t="s">
        <v>627</v>
      </c>
      <c r="H383" s="243" t="s">
        <v>627</v>
      </c>
      <c r="I383" s="243" t="s">
        <v>627</v>
      </c>
      <c r="J383" s="243" t="s">
        <v>627</v>
      </c>
      <c r="K383" s="243" t="s">
        <v>627</v>
      </c>
      <c r="L383" s="243" t="s">
        <v>627</v>
      </c>
      <c r="M383" s="243" t="s">
        <v>627</v>
      </c>
      <c r="N383" s="369"/>
      <c r="O383" s="370"/>
      <c r="P383" s="194" t="s">
        <v>123</v>
      </c>
      <c r="Q383" s="247"/>
      <c r="R383" s="247"/>
    </row>
    <row r="384" spans="2:18" x14ac:dyDescent="0.25">
      <c r="B384" s="363">
        <v>25</v>
      </c>
      <c r="C384" s="365" t="s">
        <v>677</v>
      </c>
      <c r="D384" s="367" t="s">
        <v>680</v>
      </c>
      <c r="E384" s="243" t="s">
        <v>627</v>
      </c>
      <c r="F384" s="243" t="s">
        <v>627</v>
      </c>
      <c r="G384" s="243" t="s">
        <v>627</v>
      </c>
      <c r="H384" s="243" t="s">
        <v>627</v>
      </c>
      <c r="I384" s="243" t="s">
        <v>627</v>
      </c>
      <c r="J384" s="243" t="s">
        <v>627</v>
      </c>
      <c r="K384" s="243" t="s">
        <v>627</v>
      </c>
      <c r="L384" s="243" t="s">
        <v>627</v>
      </c>
      <c r="M384" s="243" t="s">
        <v>627</v>
      </c>
      <c r="N384" s="369"/>
      <c r="O384" s="370"/>
      <c r="P384" s="194" t="s">
        <v>123</v>
      </c>
      <c r="Q384" s="247"/>
      <c r="R384" s="247"/>
    </row>
    <row r="385" spans="2:18" x14ac:dyDescent="0.25">
      <c r="B385" s="364"/>
      <c r="C385" s="366"/>
      <c r="D385" s="368"/>
      <c r="E385" s="243" t="s">
        <v>627</v>
      </c>
      <c r="F385" s="243" t="s">
        <v>627</v>
      </c>
      <c r="G385" s="243" t="s">
        <v>627</v>
      </c>
      <c r="H385" s="243" t="s">
        <v>627</v>
      </c>
      <c r="I385" s="243" t="s">
        <v>627</v>
      </c>
      <c r="J385" s="243" t="s">
        <v>627</v>
      </c>
      <c r="K385" s="243" t="s">
        <v>627</v>
      </c>
      <c r="L385" s="243" t="s">
        <v>627</v>
      </c>
      <c r="M385" s="243" t="s">
        <v>627</v>
      </c>
      <c r="N385" s="369"/>
      <c r="O385" s="370"/>
      <c r="P385" s="194" t="s">
        <v>123</v>
      </c>
      <c r="Q385" s="247"/>
      <c r="R385" s="247"/>
    </row>
  </sheetData>
  <mergeCells count="1798">
    <mergeCell ref="L349:L350"/>
    <mergeCell ref="L351:L352"/>
    <mergeCell ref="M349:M350"/>
    <mergeCell ref="M351:M352"/>
    <mergeCell ref="I335:I336"/>
    <mergeCell ref="I337:I338"/>
    <mergeCell ref="I339:I340"/>
    <mergeCell ref="I341:I342"/>
    <mergeCell ref="I343:I344"/>
    <mergeCell ref="I345:I346"/>
    <mergeCell ref="I347:I348"/>
    <mergeCell ref="I349:I350"/>
    <mergeCell ref="I351:I352"/>
    <mergeCell ref="I353:I354"/>
    <mergeCell ref="I355:I356"/>
    <mergeCell ref="I357:I358"/>
    <mergeCell ref="I359:I360"/>
    <mergeCell ref="I361:I362"/>
    <mergeCell ref="I363:I364"/>
    <mergeCell ref="E359:E360"/>
    <mergeCell ref="F359:F360"/>
    <mergeCell ref="E361:E362"/>
    <mergeCell ref="F361:F362"/>
    <mergeCell ref="E363:E364"/>
    <mergeCell ref="F363:F364"/>
    <mergeCell ref="G349:G350"/>
    <mergeCell ref="H349:H350"/>
    <mergeCell ref="G351:G352"/>
    <mergeCell ref="H351:H352"/>
    <mergeCell ref="J335:J336"/>
    <mergeCell ref="J337:J338"/>
    <mergeCell ref="J339:J340"/>
    <mergeCell ref="J341:J342"/>
    <mergeCell ref="J343:J344"/>
    <mergeCell ref="J345:J346"/>
    <mergeCell ref="J347:J348"/>
    <mergeCell ref="J349:J350"/>
    <mergeCell ref="J351:J352"/>
    <mergeCell ref="J353:J354"/>
    <mergeCell ref="J355:J356"/>
    <mergeCell ref="J357:J358"/>
    <mergeCell ref="J359:J360"/>
    <mergeCell ref="J361:J362"/>
    <mergeCell ref="J363:J364"/>
    <mergeCell ref="E341:E342"/>
    <mergeCell ref="F341:F342"/>
    <mergeCell ref="E343:E344"/>
    <mergeCell ref="F343:F344"/>
    <mergeCell ref="E345:E346"/>
    <mergeCell ref="F345:F346"/>
    <mergeCell ref="E347:E348"/>
    <mergeCell ref="F347:F348"/>
    <mergeCell ref="E349:E350"/>
    <mergeCell ref="F349:F350"/>
    <mergeCell ref="E351:E352"/>
    <mergeCell ref="F351:F352"/>
    <mergeCell ref="E353:E354"/>
    <mergeCell ref="F353:F354"/>
    <mergeCell ref="E355:E356"/>
    <mergeCell ref="F355:F356"/>
    <mergeCell ref="E357:E358"/>
    <mergeCell ref="F357:F358"/>
    <mergeCell ref="B359:B360"/>
    <mergeCell ref="C359:C360"/>
    <mergeCell ref="B361:B362"/>
    <mergeCell ref="C361:C362"/>
    <mergeCell ref="C355:C356"/>
    <mergeCell ref="B357:B358"/>
    <mergeCell ref="C357:C358"/>
    <mergeCell ref="B363:B364"/>
    <mergeCell ref="C363:C364"/>
    <mergeCell ref="D335:D336"/>
    <mergeCell ref="D337:D338"/>
    <mergeCell ref="D339:D340"/>
    <mergeCell ref="D341:D342"/>
    <mergeCell ref="D343:D344"/>
    <mergeCell ref="D345:D346"/>
    <mergeCell ref="D347:D348"/>
    <mergeCell ref="D349:D350"/>
    <mergeCell ref="D351:D352"/>
    <mergeCell ref="D353:D354"/>
    <mergeCell ref="D355:D356"/>
    <mergeCell ref="D357:D358"/>
    <mergeCell ref="D359:D360"/>
    <mergeCell ref="D361:D362"/>
    <mergeCell ref="D363:D364"/>
    <mergeCell ref="B341:B342"/>
    <mergeCell ref="C341:C342"/>
    <mergeCell ref="B343:B344"/>
    <mergeCell ref="C343:C344"/>
    <mergeCell ref="B345:B346"/>
    <mergeCell ref="C345:C346"/>
    <mergeCell ref="B347:B348"/>
    <mergeCell ref="C347:C348"/>
    <mergeCell ref="B349:B350"/>
    <mergeCell ref="C349:C350"/>
    <mergeCell ref="B351:B352"/>
    <mergeCell ref="C351:C352"/>
    <mergeCell ref="B353:B354"/>
    <mergeCell ref="C353:C354"/>
    <mergeCell ref="B355:B356"/>
    <mergeCell ref="B331:R331"/>
    <mergeCell ref="B332:O332"/>
    <mergeCell ref="B333:B334"/>
    <mergeCell ref="C333:C334"/>
    <mergeCell ref="D333:D334"/>
    <mergeCell ref="E333:E334"/>
    <mergeCell ref="F333:F334"/>
    <mergeCell ref="I333:I334"/>
    <mergeCell ref="J333:J334"/>
    <mergeCell ref="N333:N334"/>
    <mergeCell ref="O333:O334"/>
    <mergeCell ref="B335:B336"/>
    <mergeCell ref="C335:C336"/>
    <mergeCell ref="B337:B338"/>
    <mergeCell ref="C337:C338"/>
    <mergeCell ref="B339:B340"/>
    <mergeCell ref="C339:C340"/>
    <mergeCell ref="E335:E336"/>
    <mergeCell ref="F335:F336"/>
    <mergeCell ref="E337:E338"/>
    <mergeCell ref="F337:F338"/>
    <mergeCell ref="E339:E340"/>
    <mergeCell ref="F339:F340"/>
    <mergeCell ref="K163:K164"/>
    <mergeCell ref="N163:N164"/>
    <mergeCell ref="O163:O164"/>
    <mergeCell ref="B165:B166"/>
    <mergeCell ref="C165:C166"/>
    <mergeCell ref="D165:D166"/>
    <mergeCell ref="E165:E166"/>
    <mergeCell ref="F165:F166"/>
    <mergeCell ref="G165:G166"/>
    <mergeCell ref="H165:H166"/>
    <mergeCell ref="I165:I166"/>
    <mergeCell ref="J165:J166"/>
    <mergeCell ref="K165:K166"/>
    <mergeCell ref="N165:N166"/>
    <mergeCell ref="O165:O166"/>
    <mergeCell ref="B163:B164"/>
    <mergeCell ref="C163:C164"/>
    <mergeCell ref="D163:D164"/>
    <mergeCell ref="E163:E164"/>
    <mergeCell ref="F163:F164"/>
    <mergeCell ref="G163:G164"/>
    <mergeCell ref="H163:H164"/>
    <mergeCell ref="I163:I164"/>
    <mergeCell ref="J163:J164"/>
    <mergeCell ref="K159:K160"/>
    <mergeCell ref="N159:N160"/>
    <mergeCell ref="O159:O160"/>
    <mergeCell ref="B161:B162"/>
    <mergeCell ref="C161:C162"/>
    <mergeCell ref="D161:D162"/>
    <mergeCell ref="E161:E162"/>
    <mergeCell ref="F161:F162"/>
    <mergeCell ref="G161:G162"/>
    <mergeCell ref="H161:H162"/>
    <mergeCell ref="I161:I162"/>
    <mergeCell ref="J161:J162"/>
    <mergeCell ref="K161:K162"/>
    <mergeCell ref="N161:N162"/>
    <mergeCell ref="O161:O162"/>
    <mergeCell ref="B159:B160"/>
    <mergeCell ref="C159:C160"/>
    <mergeCell ref="D159:D160"/>
    <mergeCell ref="E159:E160"/>
    <mergeCell ref="F159:F160"/>
    <mergeCell ref="G159:G160"/>
    <mergeCell ref="H159:H160"/>
    <mergeCell ref="I159:I160"/>
    <mergeCell ref="J159:J160"/>
    <mergeCell ref="B154:B155"/>
    <mergeCell ref="C154:C155"/>
    <mergeCell ref="D154:D155"/>
    <mergeCell ref="E154:E155"/>
    <mergeCell ref="F154:F155"/>
    <mergeCell ref="G154:G155"/>
    <mergeCell ref="H154:H155"/>
    <mergeCell ref="I154:I155"/>
    <mergeCell ref="J154:J155"/>
    <mergeCell ref="K154:K155"/>
    <mergeCell ref="N154:N155"/>
    <mergeCell ref="O154:O155"/>
    <mergeCell ref="B156:O156"/>
    <mergeCell ref="B157:B158"/>
    <mergeCell ref="C157:C158"/>
    <mergeCell ref="D157:D158"/>
    <mergeCell ref="E157:E158"/>
    <mergeCell ref="F157:F158"/>
    <mergeCell ref="G157:G158"/>
    <mergeCell ref="H157:H158"/>
    <mergeCell ref="I157:I158"/>
    <mergeCell ref="J157:J158"/>
    <mergeCell ref="K157:K158"/>
    <mergeCell ref="N157:N158"/>
    <mergeCell ref="O157:O158"/>
    <mergeCell ref="B147:B152"/>
    <mergeCell ref="C147:C152"/>
    <mergeCell ref="D147:D152"/>
    <mergeCell ref="E147:E152"/>
    <mergeCell ref="F147:F152"/>
    <mergeCell ref="G147:G152"/>
    <mergeCell ref="H147:H152"/>
    <mergeCell ref="I147:I152"/>
    <mergeCell ref="J147:J148"/>
    <mergeCell ref="K147:K152"/>
    <mergeCell ref="N147:N152"/>
    <mergeCell ref="O147:O148"/>
    <mergeCell ref="J149:J150"/>
    <mergeCell ref="O149:O150"/>
    <mergeCell ref="J151:J152"/>
    <mergeCell ref="O151:O152"/>
    <mergeCell ref="B153:O153"/>
    <mergeCell ref="B140:B145"/>
    <mergeCell ref="C140:C145"/>
    <mergeCell ref="D140:D145"/>
    <mergeCell ref="E140:E145"/>
    <mergeCell ref="F140:F145"/>
    <mergeCell ref="G140:G145"/>
    <mergeCell ref="H140:H145"/>
    <mergeCell ref="I140:I145"/>
    <mergeCell ref="J140:J141"/>
    <mergeCell ref="K140:K145"/>
    <mergeCell ref="N140:N145"/>
    <mergeCell ref="O140:O141"/>
    <mergeCell ref="J142:J143"/>
    <mergeCell ref="O142:O143"/>
    <mergeCell ref="J144:J145"/>
    <mergeCell ref="O144:O145"/>
    <mergeCell ref="B146:O146"/>
    <mergeCell ref="B134:B139"/>
    <mergeCell ref="C134:C139"/>
    <mergeCell ref="D134:D139"/>
    <mergeCell ref="E134:E139"/>
    <mergeCell ref="F134:F139"/>
    <mergeCell ref="G134:G139"/>
    <mergeCell ref="H134:H139"/>
    <mergeCell ref="I134:I139"/>
    <mergeCell ref="J134:J135"/>
    <mergeCell ref="K134:K139"/>
    <mergeCell ref="N134:N139"/>
    <mergeCell ref="O134:O135"/>
    <mergeCell ref="J136:J137"/>
    <mergeCell ref="O136:O137"/>
    <mergeCell ref="J138:J139"/>
    <mergeCell ref="O138:O139"/>
    <mergeCell ref="B128:B133"/>
    <mergeCell ref="K122:K127"/>
    <mergeCell ref="J124:J125"/>
    <mergeCell ref="C128:C133"/>
    <mergeCell ref="D128:D133"/>
    <mergeCell ref="E128:E133"/>
    <mergeCell ref="F128:F133"/>
    <mergeCell ref="G128:G133"/>
    <mergeCell ref="H128:H133"/>
    <mergeCell ref="I128:I133"/>
    <mergeCell ref="J128:J129"/>
    <mergeCell ref="O124:O125"/>
    <mergeCell ref="J126:J127"/>
    <mergeCell ref="O126:O127"/>
    <mergeCell ref="K128:K133"/>
    <mergeCell ref="N128:N133"/>
    <mergeCell ref="O128:O129"/>
    <mergeCell ref="J130:J131"/>
    <mergeCell ref="O130:O131"/>
    <mergeCell ref="J132:J133"/>
    <mergeCell ref="O132:O133"/>
    <mergeCell ref="B121:O121"/>
    <mergeCell ref="J122:J123"/>
    <mergeCell ref="O122:O123"/>
    <mergeCell ref="N122:N127"/>
    <mergeCell ref="K119:K120"/>
    <mergeCell ref="N119:N120"/>
    <mergeCell ref="O119:O120"/>
    <mergeCell ref="B112:O112"/>
    <mergeCell ref="L113:L114"/>
    <mergeCell ref="L115:L116"/>
    <mergeCell ref="L117:L118"/>
    <mergeCell ref="L119:L120"/>
    <mergeCell ref="M113:M114"/>
    <mergeCell ref="M115:M116"/>
    <mergeCell ref="M117:M118"/>
    <mergeCell ref="M119:M120"/>
    <mergeCell ref="B119:B120"/>
    <mergeCell ref="C119:C120"/>
    <mergeCell ref="D119:D120"/>
    <mergeCell ref="E119:E120"/>
    <mergeCell ref="F119:F120"/>
    <mergeCell ref="G119:G120"/>
    <mergeCell ref="H119:H120"/>
    <mergeCell ref="I119:I120"/>
    <mergeCell ref="B122:B127"/>
    <mergeCell ref="C122:C127"/>
    <mergeCell ref="D122:D127"/>
    <mergeCell ref="E122:E127"/>
    <mergeCell ref="F122:F127"/>
    <mergeCell ref="G122:G127"/>
    <mergeCell ref="H122:H127"/>
    <mergeCell ref="I122:I127"/>
    <mergeCell ref="J119:J120"/>
    <mergeCell ref="K115:K116"/>
    <mergeCell ref="N115:N116"/>
    <mergeCell ref="O115:O116"/>
    <mergeCell ref="B117:B118"/>
    <mergeCell ref="C117:C118"/>
    <mergeCell ref="D117:D118"/>
    <mergeCell ref="E117:E118"/>
    <mergeCell ref="F117:F118"/>
    <mergeCell ref="G117:G118"/>
    <mergeCell ref="H117:H118"/>
    <mergeCell ref="I117:I118"/>
    <mergeCell ref="J117:J118"/>
    <mergeCell ref="K117:K118"/>
    <mergeCell ref="N117:N118"/>
    <mergeCell ref="O117:O118"/>
    <mergeCell ref="B115:B116"/>
    <mergeCell ref="C115:C116"/>
    <mergeCell ref="D115:D116"/>
    <mergeCell ref="E115:E116"/>
    <mergeCell ref="F115:F116"/>
    <mergeCell ref="G115:G116"/>
    <mergeCell ref="H115:H116"/>
    <mergeCell ref="I115:I116"/>
    <mergeCell ref="I108:I109"/>
    <mergeCell ref="J108:J109"/>
    <mergeCell ref="K108:K109"/>
    <mergeCell ref="N108:N109"/>
    <mergeCell ref="O108:O109"/>
    <mergeCell ref="J115:J116"/>
    <mergeCell ref="K110:K111"/>
    <mergeCell ref="N110:N111"/>
    <mergeCell ref="O110:O111"/>
    <mergeCell ref="B113:B114"/>
    <mergeCell ref="C113:C114"/>
    <mergeCell ref="D113:D114"/>
    <mergeCell ref="E113:E114"/>
    <mergeCell ref="F113:F114"/>
    <mergeCell ref="G113:G114"/>
    <mergeCell ref="H113:H114"/>
    <mergeCell ref="I113:I114"/>
    <mergeCell ref="J113:J114"/>
    <mergeCell ref="K113:K114"/>
    <mergeCell ref="N113:N114"/>
    <mergeCell ref="O113:O114"/>
    <mergeCell ref="B110:B111"/>
    <mergeCell ref="C110:C111"/>
    <mergeCell ref="D110:D111"/>
    <mergeCell ref="E110:E111"/>
    <mergeCell ref="F110:F111"/>
    <mergeCell ref="G110:G111"/>
    <mergeCell ref="H110:H111"/>
    <mergeCell ref="I110:I111"/>
    <mergeCell ref="B4:R4"/>
    <mergeCell ref="B103:R103"/>
    <mergeCell ref="R2:R3"/>
    <mergeCell ref="P35:Q35"/>
    <mergeCell ref="P38:Q38"/>
    <mergeCell ref="P75:Q75"/>
    <mergeCell ref="P80:Q80"/>
    <mergeCell ref="P87:Q87"/>
    <mergeCell ref="P90:Q90"/>
    <mergeCell ref="B101:O101"/>
    <mergeCell ref="B102:O102"/>
    <mergeCell ref="P2:P3"/>
    <mergeCell ref="Q2:Q3"/>
    <mergeCell ref="B14:B15"/>
    <mergeCell ref="C14:C15"/>
    <mergeCell ref="D14:D15"/>
    <mergeCell ref="E14:E15"/>
    <mergeCell ref="F14:F15"/>
    <mergeCell ref="G14:G15"/>
    <mergeCell ref="H14:H15"/>
    <mergeCell ref="I14:I15"/>
    <mergeCell ref="J14:J15"/>
    <mergeCell ref="F16:F17"/>
    <mergeCell ref="G16:G17"/>
    <mergeCell ref="N14:N15"/>
    <mergeCell ref="O14:O15"/>
    <mergeCell ref="J16:J17"/>
    <mergeCell ref="K16:K17"/>
    <mergeCell ref="N16:N17"/>
    <mergeCell ref="O16:O17"/>
    <mergeCell ref="E16:E17"/>
    <mergeCell ref="B20:O20"/>
    <mergeCell ref="B1:N1"/>
    <mergeCell ref="P5:Q5"/>
    <mergeCell ref="P20:Q20"/>
    <mergeCell ref="P32:Q32"/>
    <mergeCell ref="B2:D2"/>
    <mergeCell ref="E2:N2"/>
    <mergeCell ref="O2:O3"/>
    <mergeCell ref="B5:O5"/>
    <mergeCell ref="B6:B7"/>
    <mergeCell ref="C6:C7"/>
    <mergeCell ref="D6:D7"/>
    <mergeCell ref="E6:E7"/>
    <mergeCell ref="F6:F7"/>
    <mergeCell ref="I6:I7"/>
    <mergeCell ref="J6:J7"/>
    <mergeCell ref="K6:K7"/>
    <mergeCell ref="N6:N7"/>
    <mergeCell ref="O6:O7"/>
    <mergeCell ref="H16:H17"/>
    <mergeCell ref="I16:I17"/>
    <mergeCell ref="B8:O8"/>
    <mergeCell ref="B11:O11"/>
    <mergeCell ref="N23:N24"/>
    <mergeCell ref="O23:O24"/>
    <mergeCell ref="B13:O13"/>
    <mergeCell ref="K14:K15"/>
    <mergeCell ref="B18:B19"/>
    <mergeCell ref="N18:N19"/>
    <mergeCell ref="O18:O19"/>
    <mergeCell ref="B16:B17"/>
    <mergeCell ref="C16:C17"/>
    <mergeCell ref="D16:D17"/>
    <mergeCell ref="B21:B22"/>
    <mergeCell ref="C21:C22"/>
    <mergeCell ref="D21:D22"/>
    <mergeCell ref="E21:E22"/>
    <mergeCell ref="F21:F22"/>
    <mergeCell ref="G21:G22"/>
    <mergeCell ref="H21:H22"/>
    <mergeCell ref="I21:I22"/>
    <mergeCell ref="J21:J22"/>
    <mergeCell ref="K21:K22"/>
    <mergeCell ref="N21:N22"/>
    <mergeCell ref="O21:O22"/>
    <mergeCell ref="C18:C19"/>
    <mergeCell ref="D18:D19"/>
    <mergeCell ref="E18:E19"/>
    <mergeCell ref="F18:F19"/>
    <mergeCell ref="G18:G19"/>
    <mergeCell ref="H18:H19"/>
    <mergeCell ref="I18:I19"/>
    <mergeCell ref="J18:J19"/>
    <mergeCell ref="K18:K19"/>
    <mergeCell ref="H30:H31"/>
    <mergeCell ref="I30:I31"/>
    <mergeCell ref="J30:J31"/>
    <mergeCell ref="K26:K27"/>
    <mergeCell ref="N26:N27"/>
    <mergeCell ref="O26:O27"/>
    <mergeCell ref="B23:B24"/>
    <mergeCell ref="C23:C24"/>
    <mergeCell ref="D23:D24"/>
    <mergeCell ref="E23:E24"/>
    <mergeCell ref="N28:N29"/>
    <mergeCell ref="O28:O29"/>
    <mergeCell ref="B26:B27"/>
    <mergeCell ref="C26:C27"/>
    <mergeCell ref="D26:D27"/>
    <mergeCell ref="E26:E27"/>
    <mergeCell ref="F26:F27"/>
    <mergeCell ref="G26:G27"/>
    <mergeCell ref="H26:H27"/>
    <mergeCell ref="I26:I27"/>
    <mergeCell ref="J26:J27"/>
    <mergeCell ref="F23:F24"/>
    <mergeCell ref="G23:G24"/>
    <mergeCell ref="H23:H24"/>
    <mergeCell ref="I23:I24"/>
    <mergeCell ref="J23:J24"/>
    <mergeCell ref="K23:K24"/>
    <mergeCell ref="B32:O32"/>
    <mergeCell ref="B33:B34"/>
    <mergeCell ref="C33:C34"/>
    <mergeCell ref="D33:D34"/>
    <mergeCell ref="E33:E34"/>
    <mergeCell ref="F33:F34"/>
    <mergeCell ref="G33:G34"/>
    <mergeCell ref="H33:H34"/>
    <mergeCell ref="I33:I34"/>
    <mergeCell ref="J33:J34"/>
    <mergeCell ref="K33:K34"/>
    <mergeCell ref="N33:N34"/>
    <mergeCell ref="O33:O34"/>
    <mergeCell ref="K30:K31"/>
    <mergeCell ref="N30:N31"/>
    <mergeCell ref="O30:O31"/>
    <mergeCell ref="B28:B29"/>
    <mergeCell ref="C28:C29"/>
    <mergeCell ref="D28:D29"/>
    <mergeCell ref="E28:E29"/>
    <mergeCell ref="F28:F29"/>
    <mergeCell ref="G28:G29"/>
    <mergeCell ref="H28:H29"/>
    <mergeCell ref="I28:I29"/>
    <mergeCell ref="J28:J29"/>
    <mergeCell ref="K28:K29"/>
    <mergeCell ref="B30:B31"/>
    <mergeCell ref="C30:C31"/>
    <mergeCell ref="D30:D31"/>
    <mergeCell ref="E30:E31"/>
    <mergeCell ref="F30:F31"/>
    <mergeCell ref="G30:G31"/>
    <mergeCell ref="B38:O38"/>
    <mergeCell ref="B39:B40"/>
    <mergeCell ref="C39:C40"/>
    <mergeCell ref="D39:D40"/>
    <mergeCell ref="E39:E40"/>
    <mergeCell ref="F39:F40"/>
    <mergeCell ref="G39:G40"/>
    <mergeCell ref="H39:H40"/>
    <mergeCell ref="I39:I40"/>
    <mergeCell ref="J39:J40"/>
    <mergeCell ref="K39:K40"/>
    <mergeCell ref="N39:N40"/>
    <mergeCell ref="O39:O40"/>
    <mergeCell ref="B35:O35"/>
    <mergeCell ref="B36:B37"/>
    <mergeCell ref="C36:C37"/>
    <mergeCell ref="D36:D37"/>
    <mergeCell ref="E36:E37"/>
    <mergeCell ref="F36:F37"/>
    <mergeCell ref="G36:G37"/>
    <mergeCell ref="H36:H37"/>
    <mergeCell ref="I36:I37"/>
    <mergeCell ref="J36:J37"/>
    <mergeCell ref="K36:K37"/>
    <mergeCell ref="N36:N37"/>
    <mergeCell ref="O36:O37"/>
    <mergeCell ref="J41:J42"/>
    <mergeCell ref="K41:K42"/>
    <mergeCell ref="N41:N42"/>
    <mergeCell ref="O41:O42"/>
    <mergeCell ref="B43:B44"/>
    <mergeCell ref="C43:C44"/>
    <mergeCell ref="D43:D44"/>
    <mergeCell ref="E43:E44"/>
    <mergeCell ref="F43:F44"/>
    <mergeCell ref="G43:G44"/>
    <mergeCell ref="H43:H44"/>
    <mergeCell ref="I43:I44"/>
    <mergeCell ref="J43:J44"/>
    <mergeCell ref="K43:K44"/>
    <mergeCell ref="N43:N44"/>
    <mergeCell ref="O43:O44"/>
    <mergeCell ref="B41:B42"/>
    <mergeCell ref="C41:C42"/>
    <mergeCell ref="D41:D42"/>
    <mergeCell ref="E41:E42"/>
    <mergeCell ref="F41:F42"/>
    <mergeCell ref="G41:G42"/>
    <mergeCell ref="H41:H42"/>
    <mergeCell ref="I41:I42"/>
    <mergeCell ref="J45:J46"/>
    <mergeCell ref="K45:K46"/>
    <mergeCell ref="N45:N46"/>
    <mergeCell ref="O45:O46"/>
    <mergeCell ref="B47:B48"/>
    <mergeCell ref="C47:C48"/>
    <mergeCell ref="D47:D48"/>
    <mergeCell ref="E47:E48"/>
    <mergeCell ref="F47:F48"/>
    <mergeCell ref="G47:G48"/>
    <mergeCell ref="H47:H48"/>
    <mergeCell ref="I47:I48"/>
    <mergeCell ref="J47:J48"/>
    <mergeCell ref="K47:K48"/>
    <mergeCell ref="N47:N48"/>
    <mergeCell ref="O47:O48"/>
    <mergeCell ref="B45:B46"/>
    <mergeCell ref="C45:C46"/>
    <mergeCell ref="D45:D46"/>
    <mergeCell ref="E45:E46"/>
    <mergeCell ref="F45:F46"/>
    <mergeCell ref="G45:G46"/>
    <mergeCell ref="H45:H46"/>
    <mergeCell ref="I45:I46"/>
    <mergeCell ref="N49:N50"/>
    <mergeCell ref="O49:O50"/>
    <mergeCell ref="B51:B52"/>
    <mergeCell ref="C51:C52"/>
    <mergeCell ref="D51:D52"/>
    <mergeCell ref="E51:E52"/>
    <mergeCell ref="F51:F52"/>
    <mergeCell ref="G51:G52"/>
    <mergeCell ref="H51:H52"/>
    <mergeCell ref="I51:I52"/>
    <mergeCell ref="J51:J52"/>
    <mergeCell ref="K51:K52"/>
    <mergeCell ref="N51:N52"/>
    <mergeCell ref="O51:O52"/>
    <mergeCell ref="B49:B50"/>
    <mergeCell ref="C49:C50"/>
    <mergeCell ref="D49:D50"/>
    <mergeCell ref="E49:E50"/>
    <mergeCell ref="F49:F50"/>
    <mergeCell ref="G49:G50"/>
    <mergeCell ref="H49:H50"/>
    <mergeCell ref="I49:I50"/>
    <mergeCell ref="J49:J50"/>
    <mergeCell ref="K49:K50"/>
    <mergeCell ref="J53:J54"/>
    <mergeCell ref="K53:K54"/>
    <mergeCell ref="N53:N54"/>
    <mergeCell ref="O53:O54"/>
    <mergeCell ref="B55:B56"/>
    <mergeCell ref="C55:C56"/>
    <mergeCell ref="D55:D56"/>
    <mergeCell ref="E55:E56"/>
    <mergeCell ref="F55:F56"/>
    <mergeCell ref="G55:G56"/>
    <mergeCell ref="H55:H56"/>
    <mergeCell ref="I55:I56"/>
    <mergeCell ref="J55:J56"/>
    <mergeCell ref="K55:K56"/>
    <mergeCell ref="N55:N56"/>
    <mergeCell ref="O55:O56"/>
    <mergeCell ref="B53:B54"/>
    <mergeCell ref="C53:C54"/>
    <mergeCell ref="D53:D54"/>
    <mergeCell ref="E53:E54"/>
    <mergeCell ref="F53:F54"/>
    <mergeCell ref="G53:G54"/>
    <mergeCell ref="H53:H54"/>
    <mergeCell ref="I53:I54"/>
    <mergeCell ref="J57:J58"/>
    <mergeCell ref="K57:K58"/>
    <mergeCell ref="N57:N58"/>
    <mergeCell ref="J61:J62"/>
    <mergeCell ref="K61:K62"/>
    <mergeCell ref="N61:N62"/>
    <mergeCell ref="O57:O58"/>
    <mergeCell ref="B59:B60"/>
    <mergeCell ref="C59:C60"/>
    <mergeCell ref="D59:D60"/>
    <mergeCell ref="E59:E60"/>
    <mergeCell ref="F59:F60"/>
    <mergeCell ref="G59:G60"/>
    <mergeCell ref="H59:H60"/>
    <mergeCell ref="I59:I60"/>
    <mergeCell ref="J59:J60"/>
    <mergeCell ref="K59:K60"/>
    <mergeCell ref="N59:N60"/>
    <mergeCell ref="O59:O60"/>
    <mergeCell ref="B57:B58"/>
    <mergeCell ref="C57:C58"/>
    <mergeCell ref="D57:D58"/>
    <mergeCell ref="E57:E58"/>
    <mergeCell ref="F57:F58"/>
    <mergeCell ref="G57:G58"/>
    <mergeCell ref="H57:H58"/>
    <mergeCell ref="I57:I58"/>
    <mergeCell ref="O61:O62"/>
    <mergeCell ref="B63:B64"/>
    <mergeCell ref="C63:C64"/>
    <mergeCell ref="D63:D64"/>
    <mergeCell ref="E63:E64"/>
    <mergeCell ref="F63:F64"/>
    <mergeCell ref="G63:G64"/>
    <mergeCell ref="H63:H64"/>
    <mergeCell ref="I63:I64"/>
    <mergeCell ref="J63:J64"/>
    <mergeCell ref="K63:K64"/>
    <mergeCell ref="N63:N64"/>
    <mergeCell ref="O63:O64"/>
    <mergeCell ref="B61:B62"/>
    <mergeCell ref="C61:C62"/>
    <mergeCell ref="D61:D62"/>
    <mergeCell ref="E61:E62"/>
    <mergeCell ref="F61:F62"/>
    <mergeCell ref="G61:G62"/>
    <mergeCell ref="H61:H62"/>
    <mergeCell ref="I61:I62"/>
    <mergeCell ref="N65:N66"/>
    <mergeCell ref="O65:O66"/>
    <mergeCell ref="B67:B68"/>
    <mergeCell ref="C67:C68"/>
    <mergeCell ref="D67:D68"/>
    <mergeCell ref="E67:E68"/>
    <mergeCell ref="F67:F68"/>
    <mergeCell ref="G67:G68"/>
    <mergeCell ref="H67:H68"/>
    <mergeCell ref="I67:I68"/>
    <mergeCell ref="J67:J68"/>
    <mergeCell ref="K67:K68"/>
    <mergeCell ref="N67:N68"/>
    <mergeCell ref="O67:O68"/>
    <mergeCell ref="B65:B66"/>
    <mergeCell ref="C65:C66"/>
    <mergeCell ref="D65:D66"/>
    <mergeCell ref="E65:E66"/>
    <mergeCell ref="F65:F66"/>
    <mergeCell ref="G65:G66"/>
    <mergeCell ref="H65:H66"/>
    <mergeCell ref="I65:I66"/>
    <mergeCell ref="J65:J66"/>
    <mergeCell ref="K65:K66"/>
    <mergeCell ref="J69:J70"/>
    <mergeCell ref="I69:I70"/>
    <mergeCell ref="K69:K70"/>
    <mergeCell ref="N69:N70"/>
    <mergeCell ref="O69:O70"/>
    <mergeCell ref="B71:B72"/>
    <mergeCell ref="C71:C72"/>
    <mergeCell ref="D71:D72"/>
    <mergeCell ref="E71:E72"/>
    <mergeCell ref="F71:F72"/>
    <mergeCell ref="G71:G72"/>
    <mergeCell ref="H71:H72"/>
    <mergeCell ref="I71:I72"/>
    <mergeCell ref="J71:J72"/>
    <mergeCell ref="K71:K72"/>
    <mergeCell ref="N71:N72"/>
    <mergeCell ref="O71:O72"/>
    <mergeCell ref="B69:B70"/>
    <mergeCell ref="C69:C70"/>
    <mergeCell ref="D69:D70"/>
    <mergeCell ref="E69:E70"/>
    <mergeCell ref="F69:F70"/>
    <mergeCell ref="G69:G70"/>
    <mergeCell ref="H69:H70"/>
    <mergeCell ref="J73:J74"/>
    <mergeCell ref="K73:K74"/>
    <mergeCell ref="N73:N74"/>
    <mergeCell ref="O73:O74"/>
    <mergeCell ref="B75:O75"/>
    <mergeCell ref="B76:B77"/>
    <mergeCell ref="C76:C77"/>
    <mergeCell ref="D76:D77"/>
    <mergeCell ref="E76:E77"/>
    <mergeCell ref="F76:F77"/>
    <mergeCell ref="G76:G77"/>
    <mergeCell ref="H76:H77"/>
    <mergeCell ref="I76:I77"/>
    <mergeCell ref="J76:J77"/>
    <mergeCell ref="K76:K77"/>
    <mergeCell ref="N76:N77"/>
    <mergeCell ref="O76:O77"/>
    <mergeCell ref="B73:B74"/>
    <mergeCell ref="C73:C74"/>
    <mergeCell ref="D73:D74"/>
    <mergeCell ref="E73:E74"/>
    <mergeCell ref="F73:F74"/>
    <mergeCell ref="G73:G74"/>
    <mergeCell ref="H73:H74"/>
    <mergeCell ref="I73:I74"/>
    <mergeCell ref="J78:J79"/>
    <mergeCell ref="K78:K79"/>
    <mergeCell ref="N78:N79"/>
    <mergeCell ref="O78:O79"/>
    <mergeCell ref="B80:O80"/>
    <mergeCell ref="B81:B82"/>
    <mergeCell ref="C81:C82"/>
    <mergeCell ref="D81:D82"/>
    <mergeCell ref="E81:E82"/>
    <mergeCell ref="F81:F82"/>
    <mergeCell ref="G81:G82"/>
    <mergeCell ref="H81:H82"/>
    <mergeCell ref="I81:I82"/>
    <mergeCell ref="J81:J82"/>
    <mergeCell ref="K81:K82"/>
    <mergeCell ref="N81:N82"/>
    <mergeCell ref="O81:O82"/>
    <mergeCell ref="B78:B79"/>
    <mergeCell ref="C78:C79"/>
    <mergeCell ref="D78:D79"/>
    <mergeCell ref="E78:E79"/>
    <mergeCell ref="F78:F79"/>
    <mergeCell ref="G78:G79"/>
    <mergeCell ref="H78:H79"/>
    <mergeCell ref="I78:I79"/>
    <mergeCell ref="F88:F89"/>
    <mergeCell ref="G88:G89"/>
    <mergeCell ref="H88:H89"/>
    <mergeCell ref="I88:I89"/>
    <mergeCell ref="J88:J89"/>
    <mergeCell ref="K88:K89"/>
    <mergeCell ref="N88:N89"/>
    <mergeCell ref="O88:O89"/>
    <mergeCell ref="N83:N84"/>
    <mergeCell ref="O83:O84"/>
    <mergeCell ref="B85:B86"/>
    <mergeCell ref="C85:C86"/>
    <mergeCell ref="D85:D86"/>
    <mergeCell ref="E85:E86"/>
    <mergeCell ref="F85:F86"/>
    <mergeCell ref="G85:G86"/>
    <mergeCell ref="H85:H86"/>
    <mergeCell ref="I85:I86"/>
    <mergeCell ref="J85:J86"/>
    <mergeCell ref="K85:K86"/>
    <mergeCell ref="N85:N86"/>
    <mergeCell ref="O85:O86"/>
    <mergeCell ref="B83:B84"/>
    <mergeCell ref="C83:C84"/>
    <mergeCell ref="D83:D84"/>
    <mergeCell ref="E83:E84"/>
    <mergeCell ref="F83:F84"/>
    <mergeCell ref="G83:G84"/>
    <mergeCell ref="H83:H84"/>
    <mergeCell ref="I83:I84"/>
    <mergeCell ref="J83:J84"/>
    <mergeCell ref="K83:K84"/>
    <mergeCell ref="P1:R1"/>
    <mergeCell ref="B167:O167"/>
    <mergeCell ref="B168:B169"/>
    <mergeCell ref="C168:C169"/>
    <mergeCell ref="D168:D169"/>
    <mergeCell ref="E168:E169"/>
    <mergeCell ref="F168:F169"/>
    <mergeCell ref="G168:G169"/>
    <mergeCell ref="H168:H169"/>
    <mergeCell ref="I168:I169"/>
    <mergeCell ref="J168:J169"/>
    <mergeCell ref="K168:K169"/>
    <mergeCell ref="N168:N169"/>
    <mergeCell ref="O168:O169"/>
    <mergeCell ref="R168:R169"/>
    <mergeCell ref="Q168:Q169"/>
    <mergeCell ref="P168:P169"/>
    <mergeCell ref="L168:L169"/>
    <mergeCell ref="M168:M169"/>
    <mergeCell ref="N97:N98"/>
    <mergeCell ref="O97:O98"/>
    <mergeCell ref="B90:O90"/>
    <mergeCell ref="B91:B92"/>
    <mergeCell ref="C91:C92"/>
    <mergeCell ref="D91:D92"/>
    <mergeCell ref="N91:N92"/>
    <mergeCell ref="O91:O92"/>
    <mergeCell ref="F97:F98"/>
    <mergeCell ref="G97:G98"/>
    <mergeCell ref="H97:H98"/>
    <mergeCell ref="I97:I98"/>
    <mergeCell ref="J93:J94"/>
    <mergeCell ref="A4:A100"/>
    <mergeCell ref="G99:G100"/>
    <mergeCell ref="H99:H100"/>
    <mergeCell ref="I99:I100"/>
    <mergeCell ref="J99:J100"/>
    <mergeCell ref="K99:K100"/>
    <mergeCell ref="N99:N100"/>
    <mergeCell ref="O99:O100"/>
    <mergeCell ref="B97:B98"/>
    <mergeCell ref="C97:C98"/>
    <mergeCell ref="D97:D98"/>
    <mergeCell ref="E97:E98"/>
    <mergeCell ref="K93:K94"/>
    <mergeCell ref="N93:N94"/>
    <mergeCell ref="O93:O94"/>
    <mergeCell ref="B95:B96"/>
    <mergeCell ref="C95:C96"/>
    <mergeCell ref="D95:D96"/>
    <mergeCell ref="E95:E96"/>
    <mergeCell ref="B93:B94"/>
    <mergeCell ref="C93:C94"/>
    <mergeCell ref="D93:D94"/>
    <mergeCell ref="E93:E94"/>
    <mergeCell ref="J97:J98"/>
    <mergeCell ref="K97:K98"/>
    <mergeCell ref="F93:F94"/>
    <mergeCell ref="E91:K92"/>
    <mergeCell ref="B87:O87"/>
    <mergeCell ref="B88:B89"/>
    <mergeCell ref="C88:C89"/>
    <mergeCell ref="D88:D89"/>
    <mergeCell ref="E88:E89"/>
    <mergeCell ref="R91:R92"/>
    <mergeCell ref="B170:B171"/>
    <mergeCell ref="C170:C171"/>
    <mergeCell ref="D170:D171"/>
    <mergeCell ref="E170:E171"/>
    <mergeCell ref="F170:F171"/>
    <mergeCell ref="G170:G171"/>
    <mergeCell ref="H170:H171"/>
    <mergeCell ref="I170:I171"/>
    <mergeCell ref="J170:J171"/>
    <mergeCell ref="E99:E100"/>
    <mergeCell ref="F99:F100"/>
    <mergeCell ref="B99:B100"/>
    <mergeCell ref="C99:C100"/>
    <mergeCell ref="D99:D100"/>
    <mergeCell ref="F95:F96"/>
    <mergeCell ref="G95:G96"/>
    <mergeCell ref="H95:H96"/>
    <mergeCell ref="I95:I96"/>
    <mergeCell ref="J95:J96"/>
    <mergeCell ref="K95:K96"/>
    <mergeCell ref="N95:N96"/>
    <mergeCell ref="O95:O96"/>
    <mergeCell ref="G93:G94"/>
    <mergeCell ref="H93:H94"/>
    <mergeCell ref="I93:I94"/>
    <mergeCell ref="P101:R101"/>
    <mergeCell ref="P102:R102"/>
    <mergeCell ref="D108:D109"/>
    <mergeCell ref="E108:E109"/>
    <mergeCell ref="F108:F109"/>
    <mergeCell ref="H108:H109"/>
    <mergeCell ref="B174:R174"/>
    <mergeCell ref="A103:A171"/>
    <mergeCell ref="B104:O104"/>
    <mergeCell ref="B105:B106"/>
    <mergeCell ref="C105:C106"/>
    <mergeCell ref="D105:D106"/>
    <mergeCell ref="E105:E106"/>
    <mergeCell ref="F105:F106"/>
    <mergeCell ref="G105:G106"/>
    <mergeCell ref="H105:H106"/>
    <mergeCell ref="I105:I106"/>
    <mergeCell ref="J105:J106"/>
    <mergeCell ref="K105:K106"/>
    <mergeCell ref="N105:N106"/>
    <mergeCell ref="O105:O106"/>
    <mergeCell ref="J110:J111"/>
    <mergeCell ref="B107:O107"/>
    <mergeCell ref="B108:B109"/>
    <mergeCell ref="C108:C109"/>
    <mergeCell ref="B172:O172"/>
    <mergeCell ref="P172:R172"/>
    <mergeCell ref="B173:O173"/>
    <mergeCell ref="P173:R173"/>
    <mergeCell ref="K170:K171"/>
    <mergeCell ref="L170:L171"/>
    <mergeCell ref="M170:M171"/>
    <mergeCell ref="N170:N171"/>
    <mergeCell ref="O170:O171"/>
    <mergeCell ref="P170:P171"/>
    <mergeCell ref="Q170:Q171"/>
    <mergeCell ref="R170:R171"/>
    <mergeCell ref="G108:G109"/>
    <mergeCell ref="D204:D205"/>
    <mergeCell ref="E204:E205"/>
    <mergeCell ref="F204:F205"/>
    <mergeCell ref="G204:G205"/>
    <mergeCell ref="C225:C226"/>
    <mergeCell ref="D225:D226"/>
    <mergeCell ref="E225:E226"/>
    <mergeCell ref="F225:F226"/>
    <mergeCell ref="B227:B228"/>
    <mergeCell ref="C227:C228"/>
    <mergeCell ref="D227:D228"/>
    <mergeCell ref="E227:E228"/>
    <mergeCell ref="F227:F228"/>
    <mergeCell ref="B213:B214"/>
    <mergeCell ref="C213:C214"/>
    <mergeCell ref="D213:D214"/>
    <mergeCell ref="E213:E214"/>
    <mergeCell ref="F213:F214"/>
    <mergeCell ref="B217:B218"/>
    <mergeCell ref="B209:B210"/>
    <mergeCell ref="C209:C210"/>
    <mergeCell ref="D209:D210"/>
    <mergeCell ref="E209:E210"/>
    <mergeCell ref="F209:F210"/>
    <mergeCell ref="B211:B212"/>
    <mergeCell ref="C211:C212"/>
    <mergeCell ref="D211:D212"/>
    <mergeCell ref="E211:E212"/>
    <mergeCell ref="F211:F212"/>
    <mergeCell ref="E221:E222"/>
    <mergeCell ref="F221:F222"/>
    <mergeCell ref="C217:C218"/>
    <mergeCell ref="G256:G257"/>
    <mergeCell ref="H256:H257"/>
    <mergeCell ref="I256:I257"/>
    <mergeCell ref="J256:J257"/>
    <mergeCell ref="B241:B242"/>
    <mergeCell ref="C241:C242"/>
    <mergeCell ref="D241:D242"/>
    <mergeCell ref="E241:E242"/>
    <mergeCell ref="F241:F242"/>
    <mergeCell ref="G241:G242"/>
    <mergeCell ref="H241:H242"/>
    <mergeCell ref="I241:I242"/>
    <mergeCell ref="J241:J242"/>
    <mergeCell ref="E251:E252"/>
    <mergeCell ref="F251:F252"/>
    <mergeCell ref="B231:B232"/>
    <mergeCell ref="C231:C232"/>
    <mergeCell ref="D231:D232"/>
    <mergeCell ref="E231:E232"/>
    <mergeCell ref="F231:F232"/>
    <mergeCell ref="B233:B234"/>
    <mergeCell ref="C233:C234"/>
    <mergeCell ref="D233:D234"/>
    <mergeCell ref="E233:E234"/>
    <mergeCell ref="F233:F234"/>
    <mergeCell ref="B254:B255"/>
    <mergeCell ref="C254:C255"/>
    <mergeCell ref="D254:D255"/>
    <mergeCell ref="E254:E255"/>
    <mergeCell ref="F254:F255"/>
    <mergeCell ref="B256:B257"/>
    <mergeCell ref="C256:C257"/>
    <mergeCell ref="D217:D218"/>
    <mergeCell ref="E217:E218"/>
    <mergeCell ref="F217:F218"/>
    <mergeCell ref="B215:B216"/>
    <mergeCell ref="B219:B220"/>
    <mergeCell ref="C219:C220"/>
    <mergeCell ref="D219:D220"/>
    <mergeCell ref="E219:E220"/>
    <mergeCell ref="F219:F220"/>
    <mergeCell ref="B221:B222"/>
    <mergeCell ref="C221:C222"/>
    <mergeCell ref="D221:D222"/>
    <mergeCell ref="N181:N182"/>
    <mergeCell ref="O181:O182"/>
    <mergeCell ref="N183:N184"/>
    <mergeCell ref="O183:O184"/>
    <mergeCell ref="G179:G180"/>
    <mergeCell ref="H179:H180"/>
    <mergeCell ref="I179:I180"/>
    <mergeCell ref="J179:J180"/>
    <mergeCell ref="K179:K180"/>
    <mergeCell ref="N179:N180"/>
    <mergeCell ref="O179:O180"/>
    <mergeCell ref="K209:K210"/>
    <mergeCell ref="N209:N210"/>
    <mergeCell ref="O209:O210"/>
    <mergeCell ref="N213:N214"/>
    <mergeCell ref="O213:O214"/>
    <mergeCell ref="K211:K212"/>
    <mergeCell ref="N211:N212"/>
    <mergeCell ref="O211:O212"/>
    <mergeCell ref="K213:K214"/>
    <mergeCell ref="D256:D257"/>
    <mergeCell ref="E256:E257"/>
    <mergeCell ref="F256:F257"/>
    <mergeCell ref="B244:B245"/>
    <mergeCell ref="C244:C245"/>
    <mergeCell ref="D244:D245"/>
    <mergeCell ref="E244:E245"/>
    <mergeCell ref="F244:F245"/>
    <mergeCell ref="B235:B236"/>
    <mergeCell ref="C235:C236"/>
    <mergeCell ref="D235:D236"/>
    <mergeCell ref="E235:E236"/>
    <mergeCell ref="F235:F236"/>
    <mergeCell ref="G235:G236"/>
    <mergeCell ref="H209:H210"/>
    <mergeCell ref="I209:I210"/>
    <mergeCell ref="J209:J210"/>
    <mergeCell ref="G217:G218"/>
    <mergeCell ref="H217:H218"/>
    <mergeCell ref="G211:G212"/>
    <mergeCell ref="H211:H212"/>
    <mergeCell ref="I211:I212"/>
    <mergeCell ref="J211:J212"/>
    <mergeCell ref="G213:G214"/>
    <mergeCell ref="H213:H214"/>
    <mergeCell ref="I213:I214"/>
    <mergeCell ref="J213:J214"/>
    <mergeCell ref="B229:B230"/>
    <mergeCell ref="C229:C230"/>
    <mergeCell ref="D229:D230"/>
    <mergeCell ref="E229:E230"/>
    <mergeCell ref="F229:F230"/>
    <mergeCell ref="N233:N234"/>
    <mergeCell ref="O233:O234"/>
    <mergeCell ref="G231:G232"/>
    <mergeCell ref="H231:H232"/>
    <mergeCell ref="I231:I232"/>
    <mergeCell ref="J231:J232"/>
    <mergeCell ref="K231:K232"/>
    <mergeCell ref="N231:N232"/>
    <mergeCell ref="O231:O232"/>
    <mergeCell ref="G233:G234"/>
    <mergeCell ref="J227:J228"/>
    <mergeCell ref="K227:K228"/>
    <mergeCell ref="N227:N228"/>
    <mergeCell ref="O227:O228"/>
    <mergeCell ref="G219:G220"/>
    <mergeCell ref="H219:H220"/>
    <mergeCell ref="I219:I220"/>
    <mergeCell ref="J219:J220"/>
    <mergeCell ref="K219:K220"/>
    <mergeCell ref="N219:N220"/>
    <mergeCell ref="O219:O220"/>
    <mergeCell ref="H221:H222"/>
    <mergeCell ref="I221:I222"/>
    <mergeCell ref="J221:J222"/>
    <mergeCell ref="K221:K222"/>
    <mergeCell ref="N221:N222"/>
    <mergeCell ref="O221:O222"/>
    <mergeCell ref="N176:N177"/>
    <mergeCell ref="O176:O177"/>
    <mergeCell ref="G254:G255"/>
    <mergeCell ref="H254:H255"/>
    <mergeCell ref="I254:I255"/>
    <mergeCell ref="J254:J255"/>
    <mergeCell ref="K254:K255"/>
    <mergeCell ref="N254:N255"/>
    <mergeCell ref="O254:O255"/>
    <mergeCell ref="K185:K186"/>
    <mergeCell ref="N185:N186"/>
    <mergeCell ref="O185:O186"/>
    <mergeCell ref="K187:K188"/>
    <mergeCell ref="N187:N188"/>
    <mergeCell ref="O187:O188"/>
    <mergeCell ref="N204:N205"/>
    <mergeCell ref="O204:O205"/>
    <mergeCell ref="J197:J198"/>
    <mergeCell ref="K197:K198"/>
    <mergeCell ref="G209:G210"/>
    <mergeCell ref="N197:N198"/>
    <mergeCell ref="O197:O198"/>
    <mergeCell ref="I217:I218"/>
    <mergeCell ref="J217:J218"/>
    <mergeCell ref="G229:G230"/>
    <mergeCell ref="H229:H230"/>
    <mergeCell ref="I229:I230"/>
    <mergeCell ref="J229:J230"/>
    <mergeCell ref="K229:K230"/>
    <mergeCell ref="N229:N230"/>
    <mergeCell ref="O229:O230"/>
    <mergeCell ref="G221:G222"/>
    <mergeCell ref="K256:K257"/>
    <mergeCell ref="N256:N257"/>
    <mergeCell ref="O256:O257"/>
    <mergeCell ref="G258:G259"/>
    <mergeCell ref="K249:K250"/>
    <mergeCell ref="N249:N250"/>
    <mergeCell ref="O249:O250"/>
    <mergeCell ref="K251:K252"/>
    <mergeCell ref="N251:N252"/>
    <mergeCell ref="O251:O252"/>
    <mergeCell ref="G244:G245"/>
    <mergeCell ref="H244:H245"/>
    <mergeCell ref="I244:I245"/>
    <mergeCell ref="J244:J245"/>
    <mergeCell ref="K244:K245"/>
    <mergeCell ref="N244:N245"/>
    <mergeCell ref="O244:O245"/>
    <mergeCell ref="K246:K247"/>
    <mergeCell ref="N246:N247"/>
    <mergeCell ref="G251:G252"/>
    <mergeCell ref="H251:H252"/>
    <mergeCell ref="I251:I252"/>
    <mergeCell ref="J251:J252"/>
    <mergeCell ref="B253:O253"/>
    <mergeCell ref="B258:B259"/>
    <mergeCell ref="C258:C259"/>
    <mergeCell ref="D258:D259"/>
    <mergeCell ref="E258:E259"/>
    <mergeCell ref="F258:F259"/>
    <mergeCell ref="H258:H259"/>
    <mergeCell ref="I258:I259"/>
    <mergeCell ref="J258:J259"/>
    <mergeCell ref="B176:B177"/>
    <mergeCell ref="C176:C177"/>
    <mergeCell ref="D176:D177"/>
    <mergeCell ref="E176:E177"/>
    <mergeCell ref="F176:F177"/>
    <mergeCell ref="G176:G177"/>
    <mergeCell ref="H176:H177"/>
    <mergeCell ref="I176:I177"/>
    <mergeCell ref="J176:J177"/>
    <mergeCell ref="K176:K177"/>
    <mergeCell ref="G181:G182"/>
    <mergeCell ref="H181:H182"/>
    <mergeCell ref="I181:I182"/>
    <mergeCell ref="J181:J182"/>
    <mergeCell ref="K181:K182"/>
    <mergeCell ref="B179:B180"/>
    <mergeCell ref="C179:C180"/>
    <mergeCell ref="D179:D180"/>
    <mergeCell ref="E179:E180"/>
    <mergeCell ref="F179:F180"/>
    <mergeCell ref="B181:B182"/>
    <mergeCell ref="C181:C182"/>
    <mergeCell ref="D181:D182"/>
    <mergeCell ref="E181:E182"/>
    <mergeCell ref="F181:F182"/>
    <mergeCell ref="C183:C184"/>
    <mergeCell ref="D183:D184"/>
    <mergeCell ref="E183:E184"/>
    <mergeCell ref="F183:F184"/>
    <mergeCell ref="G183:G184"/>
    <mergeCell ref="H183:H184"/>
    <mergeCell ref="I183:I184"/>
    <mergeCell ref="J183:J184"/>
    <mergeCell ref="K183:K184"/>
    <mergeCell ref="B183:B184"/>
    <mergeCell ref="B187:B188"/>
    <mergeCell ref="C187:C188"/>
    <mergeCell ref="D187:D188"/>
    <mergeCell ref="E187:E188"/>
    <mergeCell ref="F187:F188"/>
    <mergeCell ref="G187:G188"/>
    <mergeCell ref="H187:H188"/>
    <mergeCell ref="I187:I188"/>
    <mergeCell ref="J187:J188"/>
    <mergeCell ref="B185:B186"/>
    <mergeCell ref="C185:C186"/>
    <mergeCell ref="D185:D186"/>
    <mergeCell ref="E185:E186"/>
    <mergeCell ref="F185:F186"/>
    <mergeCell ref="G185:G186"/>
    <mergeCell ref="H185:H186"/>
    <mergeCell ref="I185:I186"/>
    <mergeCell ref="J185:J186"/>
    <mergeCell ref="F190:F191"/>
    <mergeCell ref="G190:G191"/>
    <mergeCell ref="H190:H191"/>
    <mergeCell ref="I190:I191"/>
    <mergeCell ref="J190:J191"/>
    <mergeCell ref="K190:K191"/>
    <mergeCell ref="N190:N191"/>
    <mergeCell ref="O190:O191"/>
    <mergeCell ref="B194:B195"/>
    <mergeCell ref="C194:C195"/>
    <mergeCell ref="D194:D195"/>
    <mergeCell ref="E194:E195"/>
    <mergeCell ref="F194:F195"/>
    <mergeCell ref="G194:G195"/>
    <mergeCell ref="H194:H195"/>
    <mergeCell ref="I194:I195"/>
    <mergeCell ref="J194:J195"/>
    <mergeCell ref="K194:K195"/>
    <mergeCell ref="N194:N195"/>
    <mergeCell ref="O194:O195"/>
    <mergeCell ref="B190:B191"/>
    <mergeCell ref="C190:C191"/>
    <mergeCell ref="D190:D191"/>
    <mergeCell ref="E190:E191"/>
    <mergeCell ref="B201:B202"/>
    <mergeCell ref="C201:C202"/>
    <mergeCell ref="D201:D202"/>
    <mergeCell ref="E201:E202"/>
    <mergeCell ref="F201:F202"/>
    <mergeCell ref="G201:G202"/>
    <mergeCell ref="H201:H202"/>
    <mergeCell ref="I201:I202"/>
    <mergeCell ref="J201:J202"/>
    <mergeCell ref="K201:K202"/>
    <mergeCell ref="N201:N202"/>
    <mergeCell ref="O201:O202"/>
    <mergeCell ref="B197:B198"/>
    <mergeCell ref="C197:C198"/>
    <mergeCell ref="D197:D198"/>
    <mergeCell ref="E197:E198"/>
    <mergeCell ref="F197:F198"/>
    <mergeCell ref="G197:G198"/>
    <mergeCell ref="H197:H198"/>
    <mergeCell ref="I197:I198"/>
    <mergeCell ref="B207:B208"/>
    <mergeCell ref="C207:C208"/>
    <mergeCell ref="D207:D208"/>
    <mergeCell ref="E207:E208"/>
    <mergeCell ref="F207:F208"/>
    <mergeCell ref="G207:G208"/>
    <mergeCell ref="H207:H208"/>
    <mergeCell ref="I207:I208"/>
    <mergeCell ref="J207:J208"/>
    <mergeCell ref="K207:K208"/>
    <mergeCell ref="N207:N208"/>
    <mergeCell ref="O207:O208"/>
    <mergeCell ref="B204:B205"/>
    <mergeCell ref="C204:C205"/>
    <mergeCell ref="K217:K218"/>
    <mergeCell ref="N217:N218"/>
    <mergeCell ref="O217:O218"/>
    <mergeCell ref="C215:C216"/>
    <mergeCell ref="D215:D216"/>
    <mergeCell ref="E215:E216"/>
    <mergeCell ref="F215:F216"/>
    <mergeCell ref="G215:G216"/>
    <mergeCell ref="H215:H216"/>
    <mergeCell ref="I215:I216"/>
    <mergeCell ref="J215:J216"/>
    <mergeCell ref="K215:K216"/>
    <mergeCell ref="N215:N216"/>
    <mergeCell ref="O215:O216"/>
    <mergeCell ref="H204:H205"/>
    <mergeCell ref="I204:I205"/>
    <mergeCell ref="J204:J205"/>
    <mergeCell ref="K204:K205"/>
    <mergeCell ref="B223:B224"/>
    <mergeCell ref="C223:C224"/>
    <mergeCell ref="D223:D224"/>
    <mergeCell ref="E223:E224"/>
    <mergeCell ref="F223:F224"/>
    <mergeCell ref="G223:G224"/>
    <mergeCell ref="H223:H224"/>
    <mergeCell ref="I223:I224"/>
    <mergeCell ref="J223:J224"/>
    <mergeCell ref="K223:K224"/>
    <mergeCell ref="N223:N224"/>
    <mergeCell ref="O223:O224"/>
    <mergeCell ref="B225:B226"/>
    <mergeCell ref="N239:N240"/>
    <mergeCell ref="O239:O240"/>
    <mergeCell ref="H233:H234"/>
    <mergeCell ref="I233:I234"/>
    <mergeCell ref="J233:J234"/>
    <mergeCell ref="K233:K234"/>
    <mergeCell ref="G225:G226"/>
    <mergeCell ref="H225:H226"/>
    <mergeCell ref="I225:I226"/>
    <mergeCell ref="J225:J226"/>
    <mergeCell ref="K225:K226"/>
    <mergeCell ref="N225:N226"/>
    <mergeCell ref="O225:O226"/>
    <mergeCell ref="G227:G228"/>
    <mergeCell ref="H227:H228"/>
    <mergeCell ref="I227:I228"/>
    <mergeCell ref="K239:K240"/>
    <mergeCell ref="B239:B240"/>
    <mergeCell ref="C239:C240"/>
    <mergeCell ref="J235:J236"/>
    <mergeCell ref="K235:K236"/>
    <mergeCell ref="N235:N236"/>
    <mergeCell ref="O235:O236"/>
    <mergeCell ref="B237:B238"/>
    <mergeCell ref="C237:C238"/>
    <mergeCell ref="D237:D238"/>
    <mergeCell ref="E237:E238"/>
    <mergeCell ref="F237:F238"/>
    <mergeCell ref="G237:G238"/>
    <mergeCell ref="H237:H238"/>
    <mergeCell ref="I237:I238"/>
    <mergeCell ref="J237:J238"/>
    <mergeCell ref="K237:K238"/>
    <mergeCell ref="N237:N238"/>
    <mergeCell ref="O237:O238"/>
    <mergeCell ref="H235:H236"/>
    <mergeCell ref="I235:I236"/>
    <mergeCell ref="G249:G250"/>
    <mergeCell ref="H249:H250"/>
    <mergeCell ref="I249:I250"/>
    <mergeCell ref="J249:J250"/>
    <mergeCell ref="B246:B247"/>
    <mergeCell ref="C246:C247"/>
    <mergeCell ref="D246:D247"/>
    <mergeCell ref="E246:E247"/>
    <mergeCell ref="F246:F247"/>
    <mergeCell ref="G246:G247"/>
    <mergeCell ref="H246:H247"/>
    <mergeCell ref="I246:I247"/>
    <mergeCell ref="J246:J247"/>
    <mergeCell ref="B248:O248"/>
    <mergeCell ref="O246:O247"/>
    <mergeCell ref="D239:D240"/>
    <mergeCell ref="E239:E240"/>
    <mergeCell ref="F239:F240"/>
    <mergeCell ref="G239:G240"/>
    <mergeCell ref="H239:H240"/>
    <mergeCell ref="I239:I240"/>
    <mergeCell ref="J239:J240"/>
    <mergeCell ref="K241:K242"/>
    <mergeCell ref="N241:N242"/>
    <mergeCell ref="O241:O242"/>
    <mergeCell ref="B175:O175"/>
    <mergeCell ref="B178:O178"/>
    <mergeCell ref="B189:O189"/>
    <mergeCell ref="B192:O192"/>
    <mergeCell ref="B196:O196"/>
    <mergeCell ref="B200:O200"/>
    <mergeCell ref="B203:O203"/>
    <mergeCell ref="B206:O206"/>
    <mergeCell ref="B243:O243"/>
    <mergeCell ref="K258:K259"/>
    <mergeCell ref="N258:N259"/>
    <mergeCell ref="O258:O259"/>
    <mergeCell ref="B260:B261"/>
    <mergeCell ref="C260:C261"/>
    <mergeCell ref="D260:D261"/>
    <mergeCell ref="E260:E261"/>
    <mergeCell ref="F260:F261"/>
    <mergeCell ref="G260:G261"/>
    <mergeCell ref="H260:H261"/>
    <mergeCell ref="I260:I261"/>
    <mergeCell ref="J260:J261"/>
    <mergeCell ref="K260:K261"/>
    <mergeCell ref="N260:N261"/>
    <mergeCell ref="O260:O261"/>
    <mergeCell ref="B251:B252"/>
    <mergeCell ref="C251:C252"/>
    <mergeCell ref="D251:D252"/>
    <mergeCell ref="B249:B250"/>
    <mergeCell ref="C249:C250"/>
    <mergeCell ref="D249:D250"/>
    <mergeCell ref="E249:E250"/>
    <mergeCell ref="F249:F250"/>
    <mergeCell ref="B266:B267"/>
    <mergeCell ref="C266:C267"/>
    <mergeCell ref="D266:D267"/>
    <mergeCell ref="E266:E267"/>
    <mergeCell ref="F266:F267"/>
    <mergeCell ref="I266:I267"/>
    <mergeCell ref="J266:J267"/>
    <mergeCell ref="B268:B269"/>
    <mergeCell ref="C268:C269"/>
    <mergeCell ref="D268:D269"/>
    <mergeCell ref="E268:E269"/>
    <mergeCell ref="F268:F269"/>
    <mergeCell ref="I268:I269"/>
    <mergeCell ref="J268:J269"/>
    <mergeCell ref="B262:O262"/>
    <mergeCell ref="P262:R262"/>
    <mergeCell ref="B263:O263"/>
    <mergeCell ref="P263:R263"/>
    <mergeCell ref="O266:O267"/>
    <mergeCell ref="O268:O269"/>
    <mergeCell ref="D276:D277"/>
    <mergeCell ref="E276:E277"/>
    <mergeCell ref="F276:F277"/>
    <mergeCell ref="I276:I277"/>
    <mergeCell ref="J276:J277"/>
    <mergeCell ref="B278:B279"/>
    <mergeCell ref="C278:C279"/>
    <mergeCell ref="D278:D279"/>
    <mergeCell ref="E278:E279"/>
    <mergeCell ref="F278:F279"/>
    <mergeCell ref="I278:I279"/>
    <mergeCell ref="J278:J279"/>
    <mergeCell ref="B270:B271"/>
    <mergeCell ref="C270:C271"/>
    <mergeCell ref="D270:D271"/>
    <mergeCell ref="E270:E271"/>
    <mergeCell ref="F270:F271"/>
    <mergeCell ref="I270:I271"/>
    <mergeCell ref="J270:J271"/>
    <mergeCell ref="B272:B273"/>
    <mergeCell ref="C272:C273"/>
    <mergeCell ref="D272:D273"/>
    <mergeCell ref="E272:E273"/>
    <mergeCell ref="F272:F273"/>
    <mergeCell ref="I272:I273"/>
    <mergeCell ref="J272:J273"/>
    <mergeCell ref="B280:B281"/>
    <mergeCell ref="C280:C281"/>
    <mergeCell ref="D280:D281"/>
    <mergeCell ref="E280:E281"/>
    <mergeCell ref="F280:F281"/>
    <mergeCell ref="I280:I281"/>
    <mergeCell ref="J280:J281"/>
    <mergeCell ref="B264:R264"/>
    <mergeCell ref="B265:O265"/>
    <mergeCell ref="B282:B283"/>
    <mergeCell ref="C282:C283"/>
    <mergeCell ref="D282:D283"/>
    <mergeCell ref="E282:E283"/>
    <mergeCell ref="F282:F283"/>
    <mergeCell ref="I282:I283"/>
    <mergeCell ref="J282:J283"/>
    <mergeCell ref="B284:O284"/>
    <mergeCell ref="P266:P267"/>
    <mergeCell ref="Q266:Q267"/>
    <mergeCell ref="R266:R267"/>
    <mergeCell ref="P274:P275"/>
    <mergeCell ref="Q274:Q275"/>
    <mergeCell ref="R274:R275"/>
    <mergeCell ref="B274:B275"/>
    <mergeCell ref="C274:C275"/>
    <mergeCell ref="D274:D275"/>
    <mergeCell ref="E274:E275"/>
    <mergeCell ref="F274:F275"/>
    <mergeCell ref="I274:I275"/>
    <mergeCell ref="J274:J275"/>
    <mergeCell ref="B276:B277"/>
    <mergeCell ref="C276:C277"/>
    <mergeCell ref="B285:B286"/>
    <mergeCell ref="C285:C286"/>
    <mergeCell ref="D285:D286"/>
    <mergeCell ref="E285:E286"/>
    <mergeCell ref="F285:F286"/>
    <mergeCell ref="I285:I286"/>
    <mergeCell ref="J285:J286"/>
    <mergeCell ref="B287:B288"/>
    <mergeCell ref="C287:C288"/>
    <mergeCell ref="D287:D288"/>
    <mergeCell ref="E287:E288"/>
    <mergeCell ref="F287:F288"/>
    <mergeCell ref="I287:I288"/>
    <mergeCell ref="J287:J288"/>
    <mergeCell ref="B289:B290"/>
    <mergeCell ref="C289:C290"/>
    <mergeCell ref="D289:D290"/>
    <mergeCell ref="E289:E290"/>
    <mergeCell ref="F289:F290"/>
    <mergeCell ref="I289:I290"/>
    <mergeCell ref="J289:J290"/>
    <mergeCell ref="B301:B302"/>
    <mergeCell ref="C301:C302"/>
    <mergeCell ref="D301:D302"/>
    <mergeCell ref="E301:E302"/>
    <mergeCell ref="F301:F302"/>
    <mergeCell ref="I301:I302"/>
    <mergeCell ref="J301:J302"/>
    <mergeCell ref="B291:B292"/>
    <mergeCell ref="C291:C292"/>
    <mergeCell ref="D291:D292"/>
    <mergeCell ref="E291:E292"/>
    <mergeCell ref="F291:F292"/>
    <mergeCell ref="I291:I292"/>
    <mergeCell ref="J291:J292"/>
    <mergeCell ref="B293:B294"/>
    <mergeCell ref="C293:C294"/>
    <mergeCell ref="D293:D294"/>
    <mergeCell ref="E293:E294"/>
    <mergeCell ref="F293:F294"/>
    <mergeCell ref="I293:I294"/>
    <mergeCell ref="J293:J294"/>
    <mergeCell ref="B295:B296"/>
    <mergeCell ref="C295:C296"/>
    <mergeCell ref="D295:D296"/>
    <mergeCell ref="E295:E296"/>
    <mergeCell ref="F295:F296"/>
    <mergeCell ref="I295:I296"/>
    <mergeCell ref="J295:J296"/>
    <mergeCell ref="B304:B305"/>
    <mergeCell ref="C304:C305"/>
    <mergeCell ref="D304:D305"/>
    <mergeCell ref="E304:E305"/>
    <mergeCell ref="F304:F305"/>
    <mergeCell ref="G304:G305"/>
    <mergeCell ref="H304:H305"/>
    <mergeCell ref="I304:I305"/>
    <mergeCell ref="J304:J305"/>
    <mergeCell ref="K304:K305"/>
    <mergeCell ref="L304:L305"/>
    <mergeCell ref="M304:M305"/>
    <mergeCell ref="B306:B307"/>
    <mergeCell ref="C306:C307"/>
    <mergeCell ref="D306:D307"/>
    <mergeCell ref="E306:E307"/>
    <mergeCell ref="F306:F307"/>
    <mergeCell ref="I306:I307"/>
    <mergeCell ref="J306:J307"/>
    <mergeCell ref="B308:B309"/>
    <mergeCell ref="C308:C309"/>
    <mergeCell ref="D308:D309"/>
    <mergeCell ref="E308:E309"/>
    <mergeCell ref="F308:F309"/>
    <mergeCell ref="I308:I309"/>
    <mergeCell ref="J308:J309"/>
    <mergeCell ref="B310:B311"/>
    <mergeCell ref="C310:C311"/>
    <mergeCell ref="D310:D311"/>
    <mergeCell ref="E310:E311"/>
    <mergeCell ref="F310:F311"/>
    <mergeCell ref="I310:I311"/>
    <mergeCell ref="J310:J311"/>
    <mergeCell ref="B312:B313"/>
    <mergeCell ref="C312:C313"/>
    <mergeCell ref="D312:D313"/>
    <mergeCell ref="E312:E313"/>
    <mergeCell ref="F312:F313"/>
    <mergeCell ref="G312:G313"/>
    <mergeCell ref="H312:H313"/>
    <mergeCell ref="I312:I313"/>
    <mergeCell ref="J312:J313"/>
    <mergeCell ref="K312:K313"/>
    <mergeCell ref="L312:L313"/>
    <mergeCell ref="M312:M313"/>
    <mergeCell ref="B314:B315"/>
    <mergeCell ref="C314:C315"/>
    <mergeCell ref="D314:D315"/>
    <mergeCell ref="E314:E315"/>
    <mergeCell ref="F314:F315"/>
    <mergeCell ref="G314:G315"/>
    <mergeCell ref="H314:H315"/>
    <mergeCell ref="I314:I315"/>
    <mergeCell ref="J314:J315"/>
    <mergeCell ref="K314:K315"/>
    <mergeCell ref="L314:L315"/>
    <mergeCell ref="M314:M315"/>
    <mergeCell ref="B317:B318"/>
    <mergeCell ref="C317:C318"/>
    <mergeCell ref="D317:D318"/>
    <mergeCell ref="E317:E318"/>
    <mergeCell ref="F317:F318"/>
    <mergeCell ref="G317:G318"/>
    <mergeCell ref="H317:H318"/>
    <mergeCell ref="I317:I318"/>
    <mergeCell ref="J317:J318"/>
    <mergeCell ref="B316:O316"/>
    <mergeCell ref="K319:K320"/>
    <mergeCell ref="L319:L320"/>
    <mergeCell ref="M319:M320"/>
    <mergeCell ref="B322:B323"/>
    <mergeCell ref="C322:C323"/>
    <mergeCell ref="D322:D323"/>
    <mergeCell ref="E322:E323"/>
    <mergeCell ref="F322:F323"/>
    <mergeCell ref="G322:G323"/>
    <mergeCell ref="H322:H323"/>
    <mergeCell ref="I322:I323"/>
    <mergeCell ref="J322:J323"/>
    <mergeCell ref="K322:K323"/>
    <mergeCell ref="L322:L323"/>
    <mergeCell ref="M322:M323"/>
    <mergeCell ref="B321:O321"/>
    <mergeCell ref="N322:N323"/>
    <mergeCell ref="O322:O323"/>
    <mergeCell ref="Q317:Q318"/>
    <mergeCell ref="R317:R318"/>
    <mergeCell ref="B324:B325"/>
    <mergeCell ref="C324:C325"/>
    <mergeCell ref="D324:D325"/>
    <mergeCell ref="E324:E325"/>
    <mergeCell ref="F324:F325"/>
    <mergeCell ref="G324:G325"/>
    <mergeCell ref="H324:H325"/>
    <mergeCell ref="I324:I325"/>
    <mergeCell ref="J324:J325"/>
    <mergeCell ref="B327:B328"/>
    <mergeCell ref="C327:C328"/>
    <mergeCell ref="D327:D328"/>
    <mergeCell ref="E327:E328"/>
    <mergeCell ref="F327:F328"/>
    <mergeCell ref="I327:I328"/>
    <mergeCell ref="J327:J328"/>
    <mergeCell ref="B326:O326"/>
    <mergeCell ref="N324:N325"/>
    <mergeCell ref="O324:O325"/>
    <mergeCell ref="O327:O328"/>
    <mergeCell ref="N327:N328"/>
    <mergeCell ref="B319:B320"/>
    <mergeCell ref="C319:C320"/>
    <mergeCell ref="D319:D320"/>
    <mergeCell ref="E319:E320"/>
    <mergeCell ref="F319:F320"/>
    <mergeCell ref="G319:G320"/>
    <mergeCell ref="H319:H320"/>
    <mergeCell ref="I319:I320"/>
    <mergeCell ref="J319:J320"/>
    <mergeCell ref="O276:O277"/>
    <mergeCell ref="O278:O279"/>
    <mergeCell ref="O280:O281"/>
    <mergeCell ref="O274:O275"/>
    <mergeCell ref="N285:N286"/>
    <mergeCell ref="N287:N288"/>
    <mergeCell ref="N289:N290"/>
    <mergeCell ref="N291:N292"/>
    <mergeCell ref="N293:N294"/>
    <mergeCell ref="N295:N296"/>
    <mergeCell ref="N297:N298"/>
    <mergeCell ref="N299:N300"/>
    <mergeCell ref="P293:P294"/>
    <mergeCell ref="N272:N273"/>
    <mergeCell ref="N319:N320"/>
    <mergeCell ref="P319:P320"/>
    <mergeCell ref="P317:P318"/>
    <mergeCell ref="B303:O303"/>
    <mergeCell ref="B297:B298"/>
    <mergeCell ref="C297:C298"/>
    <mergeCell ref="D297:D298"/>
    <mergeCell ref="E297:E298"/>
    <mergeCell ref="F297:F298"/>
    <mergeCell ref="I297:I298"/>
    <mergeCell ref="J297:J298"/>
    <mergeCell ref="B299:B300"/>
    <mergeCell ref="C299:C300"/>
    <mergeCell ref="D299:D300"/>
    <mergeCell ref="E299:E300"/>
    <mergeCell ref="F299:F300"/>
    <mergeCell ref="I299:I300"/>
    <mergeCell ref="J299:J300"/>
    <mergeCell ref="Q319:Q320"/>
    <mergeCell ref="R319:R320"/>
    <mergeCell ref="P322:P323"/>
    <mergeCell ref="Q322:Q323"/>
    <mergeCell ref="R322:R323"/>
    <mergeCell ref="P324:P325"/>
    <mergeCell ref="Q324:Q325"/>
    <mergeCell ref="R324:R325"/>
    <mergeCell ref="N268:N269"/>
    <mergeCell ref="N270:N271"/>
    <mergeCell ref="N274:N275"/>
    <mergeCell ref="N276:N277"/>
    <mergeCell ref="N278:N279"/>
    <mergeCell ref="N280:N281"/>
    <mergeCell ref="N282:N283"/>
    <mergeCell ref="Q293:Q294"/>
    <mergeCell ref="R293:R294"/>
    <mergeCell ref="P304:P305"/>
    <mergeCell ref="Q304:Q305"/>
    <mergeCell ref="R304:R305"/>
    <mergeCell ref="P306:P307"/>
    <mergeCell ref="Q306:Q307"/>
    <mergeCell ref="R306:R307"/>
    <mergeCell ref="R308:R309"/>
    <mergeCell ref="P312:P313"/>
    <mergeCell ref="Q312:Q313"/>
    <mergeCell ref="R312:R313"/>
    <mergeCell ref="P314:P315"/>
    <mergeCell ref="Q314:Q315"/>
    <mergeCell ref="R314:R315"/>
    <mergeCell ref="O270:O271"/>
    <mergeCell ref="O272:O273"/>
    <mergeCell ref="B329:O329"/>
    <mergeCell ref="P329:R329"/>
    <mergeCell ref="B330:O330"/>
    <mergeCell ref="P330:R330"/>
    <mergeCell ref="O301:O302"/>
    <mergeCell ref="O282:O283"/>
    <mergeCell ref="O285:O286"/>
    <mergeCell ref="O287:O288"/>
    <mergeCell ref="O289:O290"/>
    <mergeCell ref="O291:O292"/>
    <mergeCell ref="O295:O296"/>
    <mergeCell ref="O297:O298"/>
    <mergeCell ref="O299:O300"/>
    <mergeCell ref="A174:A261"/>
    <mergeCell ref="A264:A328"/>
    <mergeCell ref="N301:N302"/>
    <mergeCell ref="O293:O294"/>
    <mergeCell ref="N304:N305"/>
    <mergeCell ref="N306:N307"/>
    <mergeCell ref="N308:N309"/>
    <mergeCell ref="N310:N311"/>
    <mergeCell ref="N312:N313"/>
    <mergeCell ref="N314:N315"/>
    <mergeCell ref="O304:O305"/>
    <mergeCell ref="O306:O307"/>
    <mergeCell ref="O308:O309"/>
    <mergeCell ref="O310:O311"/>
    <mergeCell ref="O312:O313"/>
    <mergeCell ref="O314:O315"/>
    <mergeCell ref="N317:N318"/>
    <mergeCell ref="O317:O318"/>
    <mergeCell ref="O319:O320"/>
    <mergeCell ref="B365:O365"/>
    <mergeCell ref="B366:B367"/>
    <mergeCell ref="C366:C367"/>
    <mergeCell ref="D366:D367"/>
    <mergeCell ref="E366:E367"/>
    <mergeCell ref="F366:F367"/>
    <mergeCell ref="I366:I367"/>
    <mergeCell ref="J366:J367"/>
    <mergeCell ref="N366:N367"/>
    <mergeCell ref="O366:O367"/>
    <mergeCell ref="B368:B369"/>
    <mergeCell ref="C368:C369"/>
    <mergeCell ref="D368:D369"/>
    <mergeCell ref="E368:E369"/>
    <mergeCell ref="F368:F369"/>
    <mergeCell ref="I368:I369"/>
    <mergeCell ref="J368:J369"/>
    <mergeCell ref="N368:N369"/>
    <mergeCell ref="O368:O369"/>
    <mergeCell ref="I376:I377"/>
    <mergeCell ref="J376:J377"/>
    <mergeCell ref="N376:N377"/>
    <mergeCell ref="O376:O377"/>
    <mergeCell ref="B378:B379"/>
    <mergeCell ref="C378:C379"/>
    <mergeCell ref="D378:D379"/>
    <mergeCell ref="N378:N379"/>
    <mergeCell ref="O378:O379"/>
    <mergeCell ref="B371:B372"/>
    <mergeCell ref="C371:C372"/>
    <mergeCell ref="D371:D372"/>
    <mergeCell ref="E371:E372"/>
    <mergeCell ref="F371:F372"/>
    <mergeCell ref="I371:I372"/>
    <mergeCell ref="J371:J372"/>
    <mergeCell ref="N371:N372"/>
    <mergeCell ref="O371:O372"/>
    <mergeCell ref="B373:B374"/>
    <mergeCell ref="C373:C374"/>
    <mergeCell ref="D373:D374"/>
    <mergeCell ref="E373:E374"/>
    <mergeCell ref="F373:F374"/>
    <mergeCell ref="I373:I374"/>
    <mergeCell ref="J373:J374"/>
    <mergeCell ref="N373:N374"/>
    <mergeCell ref="O373:O374"/>
    <mergeCell ref="B384:B385"/>
    <mergeCell ref="C384:C385"/>
    <mergeCell ref="D384:D385"/>
    <mergeCell ref="N384:N385"/>
    <mergeCell ref="O384:O385"/>
    <mergeCell ref="P349:P350"/>
    <mergeCell ref="P351:P352"/>
    <mergeCell ref="P371:P372"/>
    <mergeCell ref="P373:P374"/>
    <mergeCell ref="K371:K372"/>
    <mergeCell ref="L371:L372"/>
    <mergeCell ref="M371:M372"/>
    <mergeCell ref="M373:M374"/>
    <mergeCell ref="L373:L374"/>
    <mergeCell ref="K373:K374"/>
    <mergeCell ref="B380:B381"/>
    <mergeCell ref="C380:C381"/>
    <mergeCell ref="D380:D381"/>
    <mergeCell ref="N380:N381"/>
    <mergeCell ref="O380:O381"/>
    <mergeCell ref="B382:B383"/>
    <mergeCell ref="C382:C383"/>
    <mergeCell ref="D382:D383"/>
    <mergeCell ref="N382:N383"/>
    <mergeCell ref="O382:O383"/>
    <mergeCell ref="B370:O370"/>
    <mergeCell ref="B375:O375"/>
    <mergeCell ref="B376:B377"/>
    <mergeCell ref="C376:C377"/>
    <mergeCell ref="D376:D377"/>
    <mergeCell ref="E376:E377"/>
    <mergeCell ref="F376:F377"/>
  </mergeCells>
  <phoneticPr fontId="3" type="noConversion"/>
  <conditionalFormatting sqref="L176:L177">
    <cfRule type="duplicateValues" dxfId="364" priority="1"/>
  </conditionalFormatting>
  <conditionalFormatting sqref="L179:L180">
    <cfRule type="duplicateValues" dxfId="363" priority="41"/>
  </conditionalFormatting>
  <conditionalFormatting sqref="L181:L182">
    <cfRule type="duplicateValues" dxfId="362" priority="45"/>
  </conditionalFormatting>
  <conditionalFormatting sqref="L183:L184">
    <cfRule type="duplicateValues" dxfId="361" priority="39"/>
  </conditionalFormatting>
  <conditionalFormatting sqref="L185:L186">
    <cfRule type="duplicateValues" dxfId="360" priority="11"/>
  </conditionalFormatting>
  <conditionalFormatting sqref="L187:L188">
    <cfRule type="duplicateValues" dxfId="359" priority="9"/>
  </conditionalFormatting>
  <conditionalFormatting sqref="L190:L191">
    <cfRule type="duplicateValues" dxfId="358" priority="36"/>
  </conditionalFormatting>
  <conditionalFormatting sqref="L193">
    <cfRule type="duplicateValues" dxfId="357" priority="34"/>
    <cfRule type="duplicateValues" dxfId="356" priority="33"/>
    <cfRule type="duplicateValues" dxfId="355" priority="32"/>
  </conditionalFormatting>
  <conditionalFormatting sqref="L194:L195">
    <cfRule type="duplicateValues" dxfId="354" priority="29"/>
    <cfRule type="duplicateValues" dxfId="353" priority="30"/>
  </conditionalFormatting>
  <conditionalFormatting sqref="L197:L198">
    <cfRule type="duplicateValues" dxfId="352" priority="27"/>
    <cfRule type="duplicateValues" dxfId="351" priority="28"/>
  </conditionalFormatting>
  <conditionalFormatting sqref="L199">
    <cfRule type="duplicateValues" dxfId="350" priority="24"/>
  </conditionalFormatting>
  <conditionalFormatting sqref="L201:L202">
    <cfRule type="duplicateValues" dxfId="349" priority="22"/>
    <cfRule type="duplicateValues" dxfId="348" priority="21"/>
  </conditionalFormatting>
  <conditionalFormatting sqref="L204:L205">
    <cfRule type="duplicateValues" dxfId="347" priority="18"/>
    <cfRule type="duplicateValues" dxfId="346" priority="19"/>
  </conditionalFormatting>
  <conditionalFormatting sqref="L211:L212">
    <cfRule type="duplicateValues" dxfId="345" priority="7"/>
  </conditionalFormatting>
  <conditionalFormatting sqref="L229:L232 L207:L210 L217:L218 L225:L226">
    <cfRule type="duplicateValues" dxfId="344" priority="43"/>
  </conditionalFormatting>
  <conditionalFormatting sqref="L233:L234">
    <cfRule type="duplicateValues" dxfId="343" priority="5"/>
  </conditionalFormatting>
  <conditionalFormatting sqref="L241:L242">
    <cfRule type="duplicateValues" dxfId="342" priority="3"/>
  </conditionalFormatting>
  <conditionalFormatting sqref="L249:L252">
    <cfRule type="duplicateValues" dxfId="341" priority="15"/>
    <cfRule type="duplicateValues" dxfId="340" priority="17"/>
  </conditionalFormatting>
  <conditionalFormatting sqref="L254:L255 L258:L261">
    <cfRule type="duplicateValues" dxfId="339" priority="12"/>
  </conditionalFormatting>
  <conditionalFormatting sqref="L258:L261">
    <cfRule type="duplicateValues" dxfId="338" priority="14"/>
  </conditionalFormatting>
  <conditionalFormatting sqref="M176:M177">
    <cfRule type="duplicateValues" dxfId="337" priority="2"/>
  </conditionalFormatting>
  <conditionalFormatting sqref="M179:M180">
    <cfRule type="duplicateValues" dxfId="336" priority="42"/>
  </conditionalFormatting>
  <conditionalFormatting sqref="M181:M182">
    <cfRule type="duplicateValues" dxfId="335" priority="46"/>
  </conditionalFormatting>
  <conditionalFormatting sqref="M183:M184">
    <cfRule type="duplicateValues" dxfId="334" priority="40"/>
  </conditionalFormatting>
  <conditionalFormatting sqref="M185:M186">
    <cfRule type="duplicateValues" dxfId="333" priority="38"/>
  </conditionalFormatting>
  <conditionalFormatting sqref="M187:M188">
    <cfRule type="duplicateValues" dxfId="332" priority="10"/>
  </conditionalFormatting>
  <conditionalFormatting sqref="M190:M191">
    <cfRule type="duplicateValues" dxfId="331" priority="37"/>
  </conditionalFormatting>
  <conditionalFormatting sqref="M193">
    <cfRule type="duplicateValues" dxfId="330" priority="35"/>
  </conditionalFormatting>
  <conditionalFormatting sqref="M194:M195">
    <cfRule type="duplicateValues" dxfId="329" priority="31"/>
  </conditionalFormatting>
  <conditionalFormatting sqref="M197:M198">
    <cfRule type="duplicateValues" dxfId="328" priority="26"/>
  </conditionalFormatting>
  <conditionalFormatting sqref="M199">
    <cfRule type="duplicateValues" dxfId="327" priority="25"/>
  </conditionalFormatting>
  <conditionalFormatting sqref="M201:M202">
    <cfRule type="duplicateValues" dxfId="326" priority="23"/>
  </conditionalFormatting>
  <conditionalFormatting sqref="M204:M205">
    <cfRule type="duplicateValues" dxfId="325" priority="20"/>
  </conditionalFormatting>
  <conditionalFormatting sqref="M211:M212">
    <cfRule type="duplicateValues" dxfId="324" priority="8"/>
  </conditionalFormatting>
  <conditionalFormatting sqref="M225 M244:M247 M217:M218 M229:M232 M207:M210">
    <cfRule type="duplicateValues" dxfId="323" priority="44"/>
  </conditionalFormatting>
  <conditionalFormatting sqref="M233:M234">
    <cfRule type="duplicateValues" dxfId="322" priority="6"/>
  </conditionalFormatting>
  <conditionalFormatting sqref="M241:M242">
    <cfRule type="duplicateValues" dxfId="321" priority="4"/>
  </conditionalFormatting>
  <conditionalFormatting sqref="M249:M252">
    <cfRule type="duplicateValues" dxfId="320" priority="16"/>
  </conditionalFormatting>
  <conditionalFormatting sqref="M258:M261 M254:M255">
    <cfRule type="duplicateValues" dxfId="319" priority="1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769E-271B-478C-AF39-335C5159817D}">
  <sheetPr>
    <pageSetUpPr fitToPage="1"/>
  </sheetPr>
  <dimension ref="A1:AA61"/>
  <sheetViews>
    <sheetView topLeftCell="D1" zoomScale="96" workbookViewId="0">
      <selection activeCell="P1" sqref="P1:AA1"/>
    </sheetView>
  </sheetViews>
  <sheetFormatPr defaultRowHeight="13.2" x14ac:dyDescent="0.25"/>
  <cols>
    <col min="16" max="17" width="8.88671875" style="257"/>
  </cols>
  <sheetData>
    <row r="1" spans="1:27" ht="13.8" thickBot="1" x14ac:dyDescent="0.3">
      <c r="A1" s="582" t="s">
        <v>306</v>
      </c>
      <c r="B1" s="583"/>
      <c r="C1" s="583"/>
      <c r="D1" s="583"/>
      <c r="E1" s="583"/>
      <c r="F1" s="583"/>
      <c r="G1" s="583"/>
      <c r="H1" s="583"/>
      <c r="I1" s="583"/>
      <c r="J1" s="583"/>
      <c r="K1" s="583"/>
      <c r="L1" s="584"/>
      <c r="M1" s="585" t="s">
        <v>8</v>
      </c>
      <c r="N1" s="586"/>
      <c r="O1" s="587"/>
      <c r="P1" s="585" t="s">
        <v>134</v>
      </c>
      <c r="Q1" s="586"/>
      <c r="R1" s="586"/>
      <c r="S1" s="586"/>
      <c r="T1" s="586"/>
      <c r="U1" s="586"/>
      <c r="V1" s="586"/>
      <c r="W1" s="586"/>
      <c r="X1" s="586"/>
      <c r="Y1" s="586"/>
      <c r="Z1" s="586"/>
      <c r="AA1" s="587"/>
    </row>
    <row r="2" spans="1:27" ht="13.8" thickBot="1" x14ac:dyDescent="0.3">
      <c r="A2" s="588" t="s">
        <v>135</v>
      </c>
      <c r="B2" s="589"/>
      <c r="C2" s="590"/>
      <c r="D2" s="588" t="s">
        <v>136</v>
      </c>
      <c r="E2" s="589"/>
      <c r="F2" s="589"/>
      <c r="G2" s="589"/>
      <c r="H2" s="589"/>
      <c r="I2" s="589"/>
      <c r="J2" s="589"/>
      <c r="K2" s="589"/>
      <c r="L2" s="589"/>
      <c r="M2" s="591" t="s">
        <v>1</v>
      </c>
      <c r="N2" s="591" t="s">
        <v>3</v>
      </c>
      <c r="O2" s="591" t="s">
        <v>1</v>
      </c>
      <c r="P2" s="593" t="s">
        <v>132</v>
      </c>
      <c r="Q2" s="593" t="s">
        <v>133</v>
      </c>
      <c r="R2" s="576" t="s">
        <v>131</v>
      </c>
      <c r="S2" s="578" t="s">
        <v>302</v>
      </c>
      <c r="T2" s="580" t="s">
        <v>303</v>
      </c>
      <c r="U2" s="572" t="s">
        <v>304</v>
      </c>
      <c r="V2" s="572" t="s">
        <v>305</v>
      </c>
      <c r="W2" s="572" t="s">
        <v>465</v>
      </c>
      <c r="X2" s="572" t="s">
        <v>470</v>
      </c>
      <c r="Y2" s="574" t="s">
        <v>467</v>
      </c>
      <c r="Z2" s="595" t="s">
        <v>468</v>
      </c>
      <c r="AA2" s="596"/>
    </row>
    <row r="3" spans="1:27" ht="34.799999999999997" thickBot="1" x14ac:dyDescent="0.3">
      <c r="A3" s="53" t="s">
        <v>290</v>
      </c>
      <c r="B3" s="256" t="s">
        <v>137</v>
      </c>
      <c r="C3" s="256" t="s">
        <v>138</v>
      </c>
      <c r="D3" s="256" t="s">
        <v>139</v>
      </c>
      <c r="E3" s="256" t="s">
        <v>140</v>
      </c>
      <c r="F3" s="53" t="s">
        <v>291</v>
      </c>
      <c r="G3" s="53" t="s">
        <v>292</v>
      </c>
      <c r="H3" s="256" t="s">
        <v>141</v>
      </c>
      <c r="I3" s="256" t="s">
        <v>142</v>
      </c>
      <c r="J3" s="261" t="s">
        <v>143</v>
      </c>
      <c r="K3" s="256" t="s">
        <v>144</v>
      </c>
      <c r="L3" s="262" t="s">
        <v>145</v>
      </c>
      <c r="M3" s="592"/>
      <c r="N3" s="592"/>
      <c r="O3" s="592"/>
      <c r="P3" s="594"/>
      <c r="Q3" s="594"/>
      <c r="R3" s="577"/>
      <c r="S3" s="579"/>
      <c r="T3" s="581"/>
      <c r="U3" s="573"/>
      <c r="V3" s="573"/>
      <c r="W3" s="573"/>
      <c r="X3" s="573"/>
      <c r="Y3" s="575"/>
      <c r="Z3" s="597"/>
      <c r="AA3" s="598"/>
    </row>
    <row r="4" spans="1:27" ht="16.8" x14ac:dyDescent="0.25">
      <c r="A4" s="92">
        <v>1</v>
      </c>
      <c r="B4" s="55" t="s">
        <v>117</v>
      </c>
      <c r="C4" s="55" t="s">
        <v>117</v>
      </c>
      <c r="D4" s="55" t="s">
        <v>36</v>
      </c>
      <c r="E4" s="55" t="s">
        <v>19</v>
      </c>
      <c r="F4" s="92">
        <v>2.5</v>
      </c>
      <c r="G4" s="92">
        <v>7.86</v>
      </c>
      <c r="H4" s="55" t="s">
        <v>117</v>
      </c>
      <c r="I4" s="55" t="s">
        <v>117</v>
      </c>
      <c r="J4" s="166" t="s">
        <v>117</v>
      </c>
      <c r="K4" s="55" t="s">
        <v>117</v>
      </c>
      <c r="L4" s="55" t="s">
        <v>117</v>
      </c>
      <c r="M4" s="246" t="s">
        <v>2</v>
      </c>
      <c r="N4" s="246" t="s">
        <v>4</v>
      </c>
      <c r="O4" s="246" t="s">
        <v>4</v>
      </c>
      <c r="P4" s="168">
        <v>17.384</v>
      </c>
      <c r="Q4" s="168">
        <v>17.37</v>
      </c>
      <c r="R4" s="169" t="s">
        <v>117</v>
      </c>
      <c r="S4" s="170" t="s">
        <v>117</v>
      </c>
      <c r="T4" s="171">
        <f>P4-Q4</f>
        <v>1.3999999999999346E-2</v>
      </c>
      <c r="U4" s="171"/>
      <c r="V4" s="172" t="s">
        <v>117</v>
      </c>
      <c r="W4" s="172" t="s">
        <v>117</v>
      </c>
      <c r="X4" s="173" t="s">
        <v>117</v>
      </c>
      <c r="Y4" s="174" t="s">
        <v>117</v>
      </c>
      <c r="Z4" s="174" t="s">
        <v>117</v>
      </c>
      <c r="AA4" s="174" t="s">
        <v>117</v>
      </c>
    </row>
    <row r="5" spans="1:27" x14ac:dyDescent="0.25">
      <c r="A5" s="92">
        <v>2</v>
      </c>
      <c r="B5" s="55" t="s">
        <v>117</v>
      </c>
      <c r="C5" s="55" t="s">
        <v>117</v>
      </c>
      <c r="D5" s="55" t="s">
        <v>89</v>
      </c>
      <c r="E5" s="55" t="s">
        <v>19</v>
      </c>
      <c r="F5" s="92">
        <v>5.2</v>
      </c>
      <c r="G5" s="92">
        <v>7.86</v>
      </c>
      <c r="H5" s="55" t="s">
        <v>117</v>
      </c>
      <c r="I5" s="55" t="s">
        <v>117</v>
      </c>
      <c r="J5" s="166" t="s">
        <v>117</v>
      </c>
      <c r="K5" s="55" t="s">
        <v>117</v>
      </c>
      <c r="L5" s="55" t="s">
        <v>117</v>
      </c>
      <c r="M5" s="167" t="s">
        <v>2</v>
      </c>
      <c r="N5" s="167" t="s">
        <v>4</v>
      </c>
      <c r="O5" s="167" t="s">
        <v>4</v>
      </c>
      <c r="P5" s="93">
        <v>36.786999999999999</v>
      </c>
      <c r="Q5" s="93">
        <v>36.777000000000001</v>
      </c>
      <c r="R5" s="166" t="s">
        <v>117</v>
      </c>
      <c r="S5" s="102" t="s">
        <v>117</v>
      </c>
      <c r="T5" s="175">
        <f t="shared" ref="T5:T6" si="0">P5-Q5</f>
        <v>9.9999999999980105E-3</v>
      </c>
      <c r="U5" s="175"/>
      <c r="V5" s="176" t="s">
        <v>117</v>
      </c>
      <c r="W5" s="176" t="s">
        <v>117</v>
      </c>
      <c r="X5" s="177" t="s">
        <v>117</v>
      </c>
      <c r="Y5" s="178" t="s">
        <v>117</v>
      </c>
      <c r="Z5" s="178" t="s">
        <v>117</v>
      </c>
      <c r="AA5" s="178" t="s">
        <v>117</v>
      </c>
    </row>
    <row r="6" spans="1:27" ht="13.8" thickBot="1" x14ac:dyDescent="0.3">
      <c r="A6" s="95">
        <v>3</v>
      </c>
      <c r="B6" s="85" t="s">
        <v>117</v>
      </c>
      <c r="C6" s="85" t="s">
        <v>117</v>
      </c>
      <c r="D6" s="85" t="s">
        <v>46</v>
      </c>
      <c r="E6" s="85" t="s">
        <v>19</v>
      </c>
      <c r="F6" s="95">
        <v>3.4</v>
      </c>
      <c r="G6" s="95">
        <v>7.86</v>
      </c>
      <c r="H6" s="85" t="s">
        <v>117</v>
      </c>
      <c r="I6" s="85" t="s">
        <v>117</v>
      </c>
      <c r="J6" s="179" t="s">
        <v>117</v>
      </c>
      <c r="K6" s="85" t="s">
        <v>117</v>
      </c>
      <c r="L6" s="85" t="s">
        <v>117</v>
      </c>
      <c r="M6" s="180" t="s">
        <v>2</v>
      </c>
      <c r="N6" s="180" t="s">
        <v>4</v>
      </c>
      <c r="O6" s="180" t="s">
        <v>4</v>
      </c>
      <c r="P6" s="96">
        <v>24.774999999999999</v>
      </c>
      <c r="Q6" s="96">
        <v>24.763999999999999</v>
      </c>
      <c r="R6" s="179" t="s">
        <v>117</v>
      </c>
      <c r="S6" s="103" t="s">
        <v>117</v>
      </c>
      <c r="T6" s="181">
        <f t="shared" si="0"/>
        <v>1.0999999999999233E-2</v>
      </c>
      <c r="U6" s="181"/>
      <c r="V6" s="176" t="s">
        <v>117</v>
      </c>
      <c r="W6" s="182" t="s">
        <v>117</v>
      </c>
      <c r="X6" s="183" t="s">
        <v>117</v>
      </c>
      <c r="Y6" s="184" t="s">
        <v>117</v>
      </c>
      <c r="Z6" s="184" t="s">
        <v>117</v>
      </c>
      <c r="AA6" s="184" t="s">
        <v>117</v>
      </c>
    </row>
    <row r="7" spans="1:27" ht="13.8" thickBot="1" x14ac:dyDescent="0.3">
      <c r="A7" s="416" t="s">
        <v>656</v>
      </c>
      <c r="B7" s="417"/>
      <c r="C7" s="417"/>
      <c r="D7" s="417"/>
      <c r="E7" s="417"/>
      <c r="F7" s="417"/>
      <c r="G7" s="417"/>
      <c r="H7" s="417"/>
      <c r="I7" s="417"/>
      <c r="J7" s="417"/>
      <c r="K7" s="417"/>
      <c r="L7" s="417"/>
      <c r="M7" s="417"/>
      <c r="N7" s="417"/>
      <c r="O7" s="417"/>
      <c r="P7" s="417"/>
      <c r="Q7" s="417"/>
      <c r="R7" s="417"/>
      <c r="S7" s="417"/>
      <c r="T7" s="417"/>
      <c r="U7" s="417"/>
      <c r="V7" s="417"/>
      <c r="W7" s="417"/>
      <c r="X7" s="417"/>
      <c r="Y7" s="417"/>
      <c r="Z7" s="417"/>
      <c r="AA7" s="418"/>
    </row>
    <row r="8" spans="1:27" ht="13.8" thickBot="1" x14ac:dyDescent="0.3">
      <c r="A8" s="416" t="s">
        <v>657</v>
      </c>
      <c r="B8" s="417"/>
      <c r="C8" s="417"/>
      <c r="D8" s="417"/>
      <c r="E8" s="417"/>
      <c r="F8" s="417"/>
      <c r="G8" s="417"/>
      <c r="H8" s="417"/>
      <c r="I8" s="417"/>
      <c r="J8" s="416"/>
      <c r="K8" s="417"/>
      <c r="L8" s="417"/>
      <c r="M8" s="417"/>
      <c r="N8" s="417"/>
      <c r="O8" s="417"/>
      <c r="P8" s="417"/>
      <c r="Q8" s="417"/>
      <c r="R8" s="417"/>
      <c r="S8" s="417"/>
      <c r="T8" s="417"/>
      <c r="U8" s="417"/>
      <c r="V8" s="417"/>
      <c r="W8" s="417"/>
      <c r="X8" s="417"/>
      <c r="Y8" s="417"/>
      <c r="Z8" s="417"/>
      <c r="AA8" s="418"/>
    </row>
    <row r="9" spans="1:27" ht="13.2" customHeight="1" x14ac:dyDescent="0.25">
      <c r="A9" s="366">
        <v>1</v>
      </c>
      <c r="B9" s="366" t="s">
        <v>117</v>
      </c>
      <c r="C9" s="386" t="s">
        <v>609</v>
      </c>
      <c r="D9" s="386" t="s">
        <v>89</v>
      </c>
      <c r="E9" s="386" t="s">
        <v>168</v>
      </c>
      <c r="F9" s="62">
        <v>5.2</v>
      </c>
      <c r="G9" s="62">
        <v>7.86</v>
      </c>
      <c r="H9" s="386" t="s">
        <v>620</v>
      </c>
      <c r="I9" s="386" t="s">
        <v>317</v>
      </c>
      <c r="J9" s="237">
        <v>45084</v>
      </c>
      <c r="K9" s="242" t="s">
        <v>628</v>
      </c>
      <c r="L9" s="229">
        <v>36.819200000000002</v>
      </c>
      <c r="M9" s="246" t="s">
        <v>2</v>
      </c>
      <c r="N9" s="246" t="s">
        <v>4</v>
      </c>
      <c r="O9" s="246" t="s">
        <v>4</v>
      </c>
      <c r="P9" s="191">
        <v>36.823</v>
      </c>
      <c r="Q9" s="191">
        <v>36.789000000000001</v>
      </c>
      <c r="R9" s="192">
        <v>45936</v>
      </c>
      <c r="S9" s="173">
        <f t="shared" ref="S9:S53" si="1">R9-J9</f>
        <v>852</v>
      </c>
      <c r="T9" s="171">
        <f t="shared" ref="T9:T53" si="2">L9-Q9</f>
        <v>3.0200000000000671E-2</v>
      </c>
      <c r="U9" s="171">
        <f t="shared" ref="U9:U53" si="3">T9-0.01</f>
        <v>2.0200000000000669E-2</v>
      </c>
      <c r="V9" s="173">
        <f>(U9*22270)/(S9*G9*F9)</f>
        <v>1.2918321897195563E-2</v>
      </c>
      <c r="W9" s="172" t="s">
        <v>684</v>
      </c>
      <c r="X9" s="172">
        <v>0</v>
      </c>
      <c r="Y9" s="172">
        <f>((X9*365)/S9)*39.4</f>
        <v>0</v>
      </c>
      <c r="Z9" s="546"/>
      <c r="AA9" s="547"/>
    </row>
    <row r="10" spans="1:27" x14ac:dyDescent="0.25">
      <c r="A10" s="403"/>
      <c r="B10" s="403"/>
      <c r="C10" s="404"/>
      <c r="D10" s="404"/>
      <c r="E10" s="404"/>
      <c r="F10" s="56">
        <v>5.2</v>
      </c>
      <c r="G10" s="56">
        <v>7.86</v>
      </c>
      <c r="H10" s="404"/>
      <c r="I10" s="404"/>
      <c r="J10" s="189">
        <v>45084</v>
      </c>
      <c r="K10" s="241" t="s">
        <v>629</v>
      </c>
      <c r="L10" s="204">
        <v>36.715800000000002</v>
      </c>
      <c r="M10" s="167" t="s">
        <v>2</v>
      </c>
      <c r="N10" s="167" t="s">
        <v>4</v>
      </c>
      <c r="O10" s="167" t="s">
        <v>4</v>
      </c>
      <c r="P10" s="185">
        <v>36.72</v>
      </c>
      <c r="Q10" s="185">
        <v>36.689</v>
      </c>
      <c r="R10" s="186">
        <v>45936</v>
      </c>
      <c r="S10" s="177">
        <f t="shared" si="1"/>
        <v>852</v>
      </c>
      <c r="T10" s="171">
        <f t="shared" si="2"/>
        <v>2.6800000000001489E-2</v>
      </c>
      <c r="U10" s="175">
        <f t="shared" si="3"/>
        <v>1.6800000000001487E-2</v>
      </c>
      <c r="V10" s="173">
        <f t="shared" ref="V10:V53" si="4">(U10*22270)/(S10*G10*F10)</f>
        <v>1.0743950884796905E-2</v>
      </c>
      <c r="W10" s="172" t="s">
        <v>684</v>
      </c>
      <c r="X10" s="176">
        <v>0</v>
      </c>
      <c r="Y10" s="176">
        <f t="shared" ref="Y10:Y38" si="5">((X10*365)/S10)*39.4</f>
        <v>0</v>
      </c>
      <c r="Z10" s="542"/>
      <c r="AA10" s="543"/>
    </row>
    <row r="11" spans="1:27" x14ac:dyDescent="0.25">
      <c r="A11" s="403">
        <v>2</v>
      </c>
      <c r="B11" s="403" t="s">
        <v>117</v>
      </c>
      <c r="C11" s="404" t="s">
        <v>609</v>
      </c>
      <c r="D11" s="404" t="s">
        <v>89</v>
      </c>
      <c r="E11" s="404" t="s">
        <v>168</v>
      </c>
      <c r="F11" s="56">
        <v>5.2</v>
      </c>
      <c r="G11" s="56">
        <v>7.86</v>
      </c>
      <c r="H11" s="404" t="s">
        <v>621</v>
      </c>
      <c r="I11" s="404" t="s">
        <v>317</v>
      </c>
      <c r="J11" s="189">
        <v>45083</v>
      </c>
      <c r="K11" s="241" t="s">
        <v>630</v>
      </c>
      <c r="L11" s="204">
        <v>36.759799999999998</v>
      </c>
      <c r="M11" s="167" t="s">
        <v>2</v>
      </c>
      <c r="N11" s="167" t="s">
        <v>4</v>
      </c>
      <c r="O11" s="167" t="s">
        <v>4</v>
      </c>
      <c r="P11" s="185">
        <v>36.765000000000001</v>
      </c>
      <c r="Q11" s="185">
        <v>36.734999999999999</v>
      </c>
      <c r="R11" s="186">
        <v>45937</v>
      </c>
      <c r="S11" s="177">
        <f t="shared" si="1"/>
        <v>854</v>
      </c>
      <c r="T11" s="171">
        <f t="shared" si="2"/>
        <v>2.4799999999999045E-2</v>
      </c>
      <c r="U11" s="175">
        <f t="shared" si="3"/>
        <v>1.4799999999999045E-2</v>
      </c>
      <c r="V11" s="173">
        <f t="shared" si="4"/>
        <v>9.4427430492998177E-3</v>
      </c>
      <c r="W11" s="172" t="s">
        <v>684</v>
      </c>
      <c r="X11" s="176">
        <v>0</v>
      </c>
      <c r="Y11" s="176">
        <f t="shared" si="5"/>
        <v>0</v>
      </c>
      <c r="Z11" s="542"/>
      <c r="AA11" s="543"/>
    </row>
    <row r="12" spans="1:27" x14ac:dyDescent="0.25">
      <c r="A12" s="403"/>
      <c r="B12" s="403"/>
      <c r="C12" s="404"/>
      <c r="D12" s="404"/>
      <c r="E12" s="404"/>
      <c r="F12" s="56">
        <v>5.2</v>
      </c>
      <c r="G12" s="56">
        <v>7.86</v>
      </c>
      <c r="H12" s="404"/>
      <c r="I12" s="404"/>
      <c r="J12" s="189">
        <v>45083</v>
      </c>
      <c r="K12" s="241" t="s">
        <v>631</v>
      </c>
      <c r="L12" s="204">
        <v>36.877499999999998</v>
      </c>
      <c r="M12" s="167" t="s">
        <v>2</v>
      </c>
      <c r="N12" s="167" t="s">
        <v>4</v>
      </c>
      <c r="O12" s="167" t="s">
        <v>4</v>
      </c>
      <c r="P12" s="185">
        <v>36.880000000000003</v>
      </c>
      <c r="Q12" s="185">
        <v>36.850999999999999</v>
      </c>
      <c r="R12" s="186">
        <v>45937</v>
      </c>
      <c r="S12" s="177">
        <f t="shared" si="1"/>
        <v>854</v>
      </c>
      <c r="T12" s="171">
        <f t="shared" si="2"/>
        <v>2.6499999999998636E-2</v>
      </c>
      <c r="U12" s="175">
        <f t="shared" si="3"/>
        <v>1.6499999999998634E-2</v>
      </c>
      <c r="V12" s="173">
        <f t="shared" si="4"/>
        <v>1.052738245361109E-2</v>
      </c>
      <c r="W12" s="172" t="s">
        <v>684</v>
      </c>
      <c r="X12" s="176">
        <v>0</v>
      </c>
      <c r="Y12" s="176">
        <f t="shared" si="5"/>
        <v>0</v>
      </c>
      <c r="Z12" s="542"/>
      <c r="AA12" s="543"/>
    </row>
    <row r="13" spans="1:27" x14ac:dyDescent="0.25">
      <c r="A13" s="403">
        <v>3</v>
      </c>
      <c r="B13" s="403" t="s">
        <v>610</v>
      </c>
      <c r="C13" s="404" t="s">
        <v>609</v>
      </c>
      <c r="D13" s="404" t="s">
        <v>89</v>
      </c>
      <c r="E13" s="404" t="s">
        <v>168</v>
      </c>
      <c r="F13" s="56">
        <v>5.2</v>
      </c>
      <c r="G13" s="56">
        <v>7.86</v>
      </c>
      <c r="H13" s="404" t="s">
        <v>622</v>
      </c>
      <c r="I13" s="404" t="s">
        <v>317</v>
      </c>
      <c r="J13" s="189">
        <v>45084</v>
      </c>
      <c r="K13" s="241" t="s">
        <v>632</v>
      </c>
      <c r="L13" s="204">
        <v>37.457500000000003</v>
      </c>
      <c r="M13" s="167" t="s">
        <v>2</v>
      </c>
      <c r="N13" s="167" t="s">
        <v>4</v>
      </c>
      <c r="O13" s="167" t="s">
        <v>4</v>
      </c>
      <c r="P13" s="185">
        <v>37.5</v>
      </c>
      <c r="Q13" s="185">
        <v>37.384</v>
      </c>
      <c r="R13" s="186">
        <v>45937</v>
      </c>
      <c r="S13" s="177">
        <f t="shared" si="1"/>
        <v>853</v>
      </c>
      <c r="T13" s="171">
        <f t="shared" si="2"/>
        <v>7.3500000000002785E-2</v>
      </c>
      <c r="U13" s="175">
        <f t="shared" si="3"/>
        <v>6.350000000000279E-2</v>
      </c>
      <c r="V13" s="173">
        <f t="shared" si="4"/>
        <v>4.056196831695251E-2</v>
      </c>
      <c r="W13" s="172" t="s">
        <v>684</v>
      </c>
      <c r="X13" s="176">
        <v>0</v>
      </c>
      <c r="Y13" s="176">
        <f t="shared" si="5"/>
        <v>0</v>
      </c>
      <c r="Z13" s="542"/>
      <c r="AA13" s="543"/>
    </row>
    <row r="14" spans="1:27" x14ac:dyDescent="0.25">
      <c r="A14" s="403"/>
      <c r="B14" s="403"/>
      <c r="C14" s="404"/>
      <c r="D14" s="404"/>
      <c r="E14" s="404"/>
      <c r="F14" s="56">
        <v>5.2</v>
      </c>
      <c r="G14" s="56">
        <v>7.86</v>
      </c>
      <c r="H14" s="404"/>
      <c r="I14" s="404"/>
      <c r="J14" s="189">
        <v>45084</v>
      </c>
      <c r="K14" s="241" t="s">
        <v>633</v>
      </c>
      <c r="L14" s="204">
        <v>36.8337</v>
      </c>
      <c r="M14" s="167" t="s">
        <v>2</v>
      </c>
      <c r="N14" s="167" t="s">
        <v>4</v>
      </c>
      <c r="O14" s="167" t="s">
        <v>4</v>
      </c>
      <c r="P14" s="185">
        <v>36.878999999999998</v>
      </c>
      <c r="Q14" s="185">
        <v>36.753</v>
      </c>
      <c r="R14" s="186">
        <v>45937</v>
      </c>
      <c r="S14" s="177">
        <f t="shared" si="1"/>
        <v>853</v>
      </c>
      <c r="T14" s="171">
        <f t="shared" si="2"/>
        <v>8.0700000000000216E-2</v>
      </c>
      <c r="U14" s="175">
        <f t="shared" si="3"/>
        <v>7.0700000000000221E-2</v>
      </c>
      <c r="V14" s="173">
        <f t="shared" si="4"/>
        <v>4.5161120630053952E-2</v>
      </c>
      <c r="W14" s="172" t="s">
        <v>684</v>
      </c>
      <c r="X14" s="176">
        <v>0</v>
      </c>
      <c r="Y14" s="176">
        <f t="shared" si="5"/>
        <v>0</v>
      </c>
      <c r="Z14" s="542"/>
      <c r="AA14" s="543"/>
    </row>
    <row r="15" spans="1:27" x14ac:dyDescent="0.25">
      <c r="A15" s="403">
        <v>4</v>
      </c>
      <c r="B15" s="403" t="s">
        <v>611</v>
      </c>
      <c r="C15" s="404" t="s">
        <v>609</v>
      </c>
      <c r="D15" s="404" t="s">
        <v>89</v>
      </c>
      <c r="E15" s="404" t="s">
        <v>168</v>
      </c>
      <c r="F15" s="56">
        <v>5.2</v>
      </c>
      <c r="G15" s="56">
        <v>7.86</v>
      </c>
      <c r="H15" s="404" t="s">
        <v>621</v>
      </c>
      <c r="I15" s="404" t="s">
        <v>317</v>
      </c>
      <c r="J15" s="189">
        <v>45089</v>
      </c>
      <c r="K15" s="241" t="s">
        <v>634</v>
      </c>
      <c r="L15" s="204">
        <v>37.819200000000002</v>
      </c>
      <c r="M15" s="167" t="s">
        <v>2</v>
      </c>
      <c r="N15" s="167" t="s">
        <v>4</v>
      </c>
      <c r="O15" s="167" t="s">
        <v>4</v>
      </c>
      <c r="P15" s="185">
        <v>37.235999999999997</v>
      </c>
      <c r="Q15" s="185">
        <v>37.036999999999999</v>
      </c>
      <c r="R15" s="186">
        <v>45937</v>
      </c>
      <c r="S15" s="177">
        <f t="shared" si="1"/>
        <v>848</v>
      </c>
      <c r="T15" s="171">
        <f t="shared" si="2"/>
        <v>0.78220000000000312</v>
      </c>
      <c r="U15" s="175">
        <f t="shared" si="3"/>
        <v>0.77220000000000311</v>
      </c>
      <c r="V15" s="173">
        <f t="shared" si="4"/>
        <v>0.49616745283019059</v>
      </c>
      <c r="W15" s="172" t="s">
        <v>684</v>
      </c>
      <c r="X15" s="176">
        <v>0</v>
      </c>
      <c r="Y15" s="176">
        <f t="shared" si="5"/>
        <v>0</v>
      </c>
      <c r="Z15" s="542"/>
      <c r="AA15" s="543"/>
    </row>
    <row r="16" spans="1:27" x14ac:dyDescent="0.25">
      <c r="A16" s="403"/>
      <c r="B16" s="403"/>
      <c r="C16" s="404"/>
      <c r="D16" s="404"/>
      <c r="E16" s="404"/>
      <c r="F16" s="56">
        <v>5.2</v>
      </c>
      <c r="G16" s="56">
        <v>7.86</v>
      </c>
      <c r="H16" s="404"/>
      <c r="I16" s="404"/>
      <c r="J16" s="189">
        <v>45089</v>
      </c>
      <c r="K16" s="241" t="s">
        <v>635</v>
      </c>
      <c r="L16" s="204">
        <v>36.986600000000003</v>
      </c>
      <c r="M16" s="167" t="s">
        <v>2</v>
      </c>
      <c r="N16" s="167" t="s">
        <v>4</v>
      </c>
      <c r="O16" s="167" t="s">
        <v>4</v>
      </c>
      <c r="P16" s="185">
        <v>37.049999999999997</v>
      </c>
      <c r="Q16" s="185">
        <v>36.81</v>
      </c>
      <c r="R16" s="186">
        <v>45937</v>
      </c>
      <c r="S16" s="177">
        <f t="shared" si="1"/>
        <v>848</v>
      </c>
      <c r="T16" s="171">
        <f t="shared" si="2"/>
        <v>0.17660000000000053</v>
      </c>
      <c r="U16" s="175">
        <f t="shared" si="3"/>
        <v>0.16660000000000053</v>
      </c>
      <c r="V16" s="173">
        <f t="shared" si="4"/>
        <v>0.10704674649250152</v>
      </c>
      <c r="W16" s="172" t="s">
        <v>684</v>
      </c>
      <c r="X16" s="176">
        <v>0</v>
      </c>
      <c r="Y16" s="176">
        <f t="shared" si="5"/>
        <v>0</v>
      </c>
      <c r="Z16" s="542"/>
      <c r="AA16" s="543"/>
    </row>
    <row r="17" spans="1:27" x14ac:dyDescent="0.25">
      <c r="A17" s="403">
        <v>5</v>
      </c>
      <c r="B17" s="403" t="s">
        <v>612</v>
      </c>
      <c r="C17" s="404" t="s">
        <v>609</v>
      </c>
      <c r="D17" s="404" t="s">
        <v>89</v>
      </c>
      <c r="E17" s="404" t="s">
        <v>168</v>
      </c>
      <c r="F17" s="56">
        <v>5.2</v>
      </c>
      <c r="G17" s="56">
        <v>7.86</v>
      </c>
      <c r="H17" s="404" t="s">
        <v>623</v>
      </c>
      <c r="I17" s="404" t="s">
        <v>271</v>
      </c>
      <c r="J17" s="244" t="s">
        <v>627</v>
      </c>
      <c r="K17" s="241" t="s">
        <v>636</v>
      </c>
      <c r="L17" s="244" t="s">
        <v>627</v>
      </c>
      <c r="M17" s="167" t="s">
        <v>2</v>
      </c>
      <c r="N17" s="167" t="s">
        <v>4</v>
      </c>
      <c r="O17" s="258" t="s">
        <v>120</v>
      </c>
      <c r="P17" s="185">
        <v>37.018000000000001</v>
      </c>
      <c r="Q17" s="185">
        <v>36.972000000000001</v>
      </c>
      <c r="R17" s="186">
        <v>45938</v>
      </c>
      <c r="S17" s="177" t="e">
        <f t="shared" si="1"/>
        <v>#VALUE!</v>
      </c>
      <c r="T17" s="171" t="e">
        <f t="shared" si="2"/>
        <v>#VALUE!</v>
      </c>
      <c r="U17" s="175" t="e">
        <f t="shared" si="3"/>
        <v>#VALUE!</v>
      </c>
      <c r="V17" s="173"/>
      <c r="W17" s="172" t="s">
        <v>684</v>
      </c>
      <c r="X17" s="176">
        <v>0</v>
      </c>
      <c r="Y17" s="176" t="e">
        <f t="shared" si="5"/>
        <v>#VALUE!</v>
      </c>
      <c r="Z17" s="542"/>
      <c r="AA17" s="543"/>
    </row>
    <row r="18" spans="1:27" x14ac:dyDescent="0.25">
      <c r="A18" s="403"/>
      <c r="B18" s="403"/>
      <c r="C18" s="404"/>
      <c r="D18" s="404"/>
      <c r="E18" s="404"/>
      <c r="F18" s="56">
        <v>5.2</v>
      </c>
      <c r="G18" s="56">
        <v>7.86</v>
      </c>
      <c r="H18" s="404"/>
      <c r="I18" s="404"/>
      <c r="J18" s="244" t="s">
        <v>627</v>
      </c>
      <c r="K18" s="241" t="s">
        <v>637</v>
      </c>
      <c r="L18" s="244" t="s">
        <v>627</v>
      </c>
      <c r="M18" s="167" t="s">
        <v>2</v>
      </c>
      <c r="N18" s="167" t="s">
        <v>4</v>
      </c>
      <c r="O18" s="258" t="s">
        <v>120</v>
      </c>
      <c r="P18" s="185">
        <v>38.423999999999999</v>
      </c>
      <c r="Q18" s="185">
        <v>38.366999999999997</v>
      </c>
      <c r="R18" s="186">
        <v>45938</v>
      </c>
      <c r="S18" s="177" t="e">
        <f t="shared" si="1"/>
        <v>#VALUE!</v>
      </c>
      <c r="T18" s="171" t="e">
        <f t="shared" si="2"/>
        <v>#VALUE!</v>
      </c>
      <c r="U18" s="175" t="e">
        <f t="shared" si="3"/>
        <v>#VALUE!</v>
      </c>
      <c r="V18" s="173"/>
      <c r="W18" s="172" t="s">
        <v>684</v>
      </c>
      <c r="X18" s="176">
        <v>0</v>
      </c>
      <c r="Y18" s="176" t="e">
        <f t="shared" si="5"/>
        <v>#VALUE!</v>
      </c>
      <c r="Z18" s="542"/>
      <c r="AA18" s="543"/>
    </row>
    <row r="19" spans="1:27" x14ac:dyDescent="0.25">
      <c r="A19" s="403">
        <v>6</v>
      </c>
      <c r="B19" s="403" t="s">
        <v>613</v>
      </c>
      <c r="C19" s="404" t="s">
        <v>609</v>
      </c>
      <c r="D19" s="404" t="s">
        <v>89</v>
      </c>
      <c r="E19" s="404" t="s">
        <v>168</v>
      </c>
      <c r="F19" s="56">
        <v>5.2</v>
      </c>
      <c r="G19" s="56">
        <v>7.86</v>
      </c>
      <c r="H19" s="404" t="s">
        <v>622</v>
      </c>
      <c r="I19" s="404" t="s">
        <v>271</v>
      </c>
      <c r="J19" s="189">
        <v>45085</v>
      </c>
      <c r="K19" s="241" t="s">
        <v>638</v>
      </c>
      <c r="L19" s="204">
        <v>37.019100000000002</v>
      </c>
      <c r="M19" s="167" t="s">
        <v>2</v>
      </c>
      <c r="N19" s="167" t="s">
        <v>4</v>
      </c>
      <c r="O19" s="167" t="s">
        <v>4</v>
      </c>
      <c r="P19" s="185">
        <v>37.271000000000001</v>
      </c>
      <c r="Q19" s="185">
        <v>36.993000000000002</v>
      </c>
      <c r="R19" s="186">
        <v>45938</v>
      </c>
      <c r="S19" s="177">
        <f t="shared" si="1"/>
        <v>853</v>
      </c>
      <c r="T19" s="171">
        <f t="shared" si="2"/>
        <v>2.6099999999999568E-2</v>
      </c>
      <c r="U19" s="175">
        <f t="shared" si="3"/>
        <v>1.6099999999999566E-2</v>
      </c>
      <c r="V19" s="173">
        <f t="shared" si="4"/>
        <v>1.0284215589021877E-2</v>
      </c>
      <c r="W19" s="172" t="s">
        <v>684</v>
      </c>
      <c r="X19" s="176">
        <v>0</v>
      </c>
      <c r="Y19" s="176">
        <f t="shared" si="5"/>
        <v>0</v>
      </c>
      <c r="Z19" s="542"/>
      <c r="AA19" s="543"/>
    </row>
    <row r="20" spans="1:27" x14ac:dyDescent="0.25">
      <c r="A20" s="403"/>
      <c r="B20" s="403"/>
      <c r="C20" s="404"/>
      <c r="D20" s="404"/>
      <c r="E20" s="404"/>
      <c r="F20" s="56">
        <v>5.2</v>
      </c>
      <c r="G20" s="56">
        <v>7.86</v>
      </c>
      <c r="H20" s="404"/>
      <c r="I20" s="404"/>
      <c r="J20" s="189">
        <v>45085</v>
      </c>
      <c r="K20" s="241" t="s">
        <v>639</v>
      </c>
      <c r="L20" s="204">
        <v>36.929699999999997</v>
      </c>
      <c r="M20" s="167" t="s">
        <v>2</v>
      </c>
      <c r="N20" s="167" t="s">
        <v>4</v>
      </c>
      <c r="O20" s="167" t="s">
        <v>4</v>
      </c>
      <c r="P20" s="185">
        <v>37.192</v>
      </c>
      <c r="Q20" s="185">
        <v>36.9</v>
      </c>
      <c r="R20" s="186">
        <v>45938</v>
      </c>
      <c r="S20" s="177">
        <f t="shared" si="1"/>
        <v>853</v>
      </c>
      <c r="T20" s="171">
        <f t="shared" si="2"/>
        <v>2.9699999999998283E-2</v>
      </c>
      <c r="U20" s="175">
        <f t="shared" si="3"/>
        <v>1.9699999999998281E-2</v>
      </c>
      <c r="V20" s="173">
        <f t="shared" si="4"/>
        <v>1.2583791745572595E-2</v>
      </c>
      <c r="W20" s="172" t="s">
        <v>684</v>
      </c>
      <c r="X20" s="176">
        <v>0</v>
      </c>
      <c r="Y20" s="176">
        <f t="shared" si="5"/>
        <v>0</v>
      </c>
      <c r="Z20" s="542"/>
      <c r="AA20" s="543"/>
    </row>
    <row r="21" spans="1:27" x14ac:dyDescent="0.25">
      <c r="A21" s="403">
        <v>7</v>
      </c>
      <c r="B21" s="403" t="s">
        <v>614</v>
      </c>
      <c r="C21" s="404" t="s">
        <v>609</v>
      </c>
      <c r="D21" s="404" t="s">
        <v>89</v>
      </c>
      <c r="E21" s="404" t="s">
        <v>168</v>
      </c>
      <c r="F21" s="56">
        <v>5.2</v>
      </c>
      <c r="G21" s="56">
        <v>7.86</v>
      </c>
      <c r="H21" s="404" t="s">
        <v>621</v>
      </c>
      <c r="I21" s="404" t="s">
        <v>317</v>
      </c>
      <c r="J21" s="189">
        <v>45085</v>
      </c>
      <c r="K21" s="241" t="s">
        <v>640</v>
      </c>
      <c r="L21" s="204">
        <v>37.007399999999997</v>
      </c>
      <c r="M21" s="167" t="s">
        <v>2</v>
      </c>
      <c r="N21" s="167" t="s">
        <v>4</v>
      </c>
      <c r="O21" s="167" t="s">
        <v>4</v>
      </c>
      <c r="P21" s="185">
        <v>37.017000000000003</v>
      </c>
      <c r="Q21" s="185">
        <v>36.981099999999998</v>
      </c>
      <c r="R21" s="186">
        <v>45938</v>
      </c>
      <c r="S21" s="177">
        <f t="shared" si="1"/>
        <v>853</v>
      </c>
      <c r="T21" s="171">
        <f t="shared" si="2"/>
        <v>2.6299999999999102E-2</v>
      </c>
      <c r="U21" s="175">
        <f t="shared" si="3"/>
        <v>1.62999999999991E-2</v>
      </c>
      <c r="V21" s="173">
        <f t="shared" si="4"/>
        <v>1.041196981994111E-2</v>
      </c>
      <c r="W21" s="172" t="s">
        <v>684</v>
      </c>
      <c r="X21" s="176">
        <v>0</v>
      </c>
      <c r="Y21" s="176">
        <f t="shared" si="5"/>
        <v>0</v>
      </c>
      <c r="Z21" s="542"/>
      <c r="AA21" s="543"/>
    </row>
    <row r="22" spans="1:27" x14ac:dyDescent="0.25">
      <c r="A22" s="403"/>
      <c r="B22" s="403"/>
      <c r="C22" s="404"/>
      <c r="D22" s="404"/>
      <c r="E22" s="404"/>
      <c r="F22" s="56">
        <v>5.2</v>
      </c>
      <c r="G22" s="56">
        <v>7.86</v>
      </c>
      <c r="H22" s="404"/>
      <c r="I22" s="404"/>
      <c r="J22" s="189">
        <v>45085</v>
      </c>
      <c r="K22" s="241" t="s">
        <v>641</v>
      </c>
      <c r="L22" s="204">
        <v>36.986600000000003</v>
      </c>
      <c r="M22" s="167" t="s">
        <v>2</v>
      </c>
      <c r="N22" s="167" t="s">
        <v>4</v>
      </c>
      <c r="O22" s="167" t="s">
        <v>4</v>
      </c>
      <c r="P22" s="185">
        <v>36.997999999999998</v>
      </c>
      <c r="Q22" s="185">
        <v>36.963000000000001</v>
      </c>
      <c r="R22" s="186">
        <v>45938</v>
      </c>
      <c r="S22" s="177">
        <f t="shared" si="1"/>
        <v>853</v>
      </c>
      <c r="T22" s="171">
        <f t="shared" si="2"/>
        <v>2.3600000000001842E-2</v>
      </c>
      <c r="U22" s="175">
        <f t="shared" si="3"/>
        <v>1.3600000000001842E-2</v>
      </c>
      <c r="V22" s="173">
        <f t="shared" si="4"/>
        <v>8.6872877025292068E-3</v>
      </c>
      <c r="W22" s="172" t="s">
        <v>684</v>
      </c>
      <c r="X22" s="176">
        <v>0</v>
      </c>
      <c r="Y22" s="176">
        <f t="shared" si="5"/>
        <v>0</v>
      </c>
      <c r="Z22" s="542"/>
      <c r="AA22" s="543"/>
    </row>
    <row r="23" spans="1:27" x14ac:dyDescent="0.25">
      <c r="A23" s="403">
        <v>8</v>
      </c>
      <c r="B23" s="403" t="s">
        <v>615</v>
      </c>
      <c r="C23" s="404" t="s">
        <v>609</v>
      </c>
      <c r="D23" s="404" t="s">
        <v>89</v>
      </c>
      <c r="E23" s="404" t="s">
        <v>168</v>
      </c>
      <c r="F23" s="56">
        <v>5.2</v>
      </c>
      <c r="G23" s="56">
        <v>7.86</v>
      </c>
      <c r="H23" s="404" t="s">
        <v>624</v>
      </c>
      <c r="I23" s="404" t="s">
        <v>317</v>
      </c>
      <c r="J23" s="243" t="s">
        <v>627</v>
      </c>
      <c r="K23" s="241" t="s">
        <v>642</v>
      </c>
      <c r="L23" s="244" t="s">
        <v>627</v>
      </c>
      <c r="M23" s="167" t="s">
        <v>2</v>
      </c>
      <c r="N23" s="167" t="s">
        <v>4</v>
      </c>
      <c r="O23" s="258" t="s">
        <v>120</v>
      </c>
      <c r="P23" s="185">
        <v>38.402999999999999</v>
      </c>
      <c r="Q23" s="185">
        <v>38.308999999999997</v>
      </c>
      <c r="R23" s="186">
        <v>45939</v>
      </c>
      <c r="S23" s="177" t="e">
        <f t="shared" si="1"/>
        <v>#VALUE!</v>
      </c>
      <c r="T23" s="171" t="e">
        <f t="shared" si="2"/>
        <v>#VALUE!</v>
      </c>
      <c r="U23" s="175" t="e">
        <f t="shared" si="3"/>
        <v>#VALUE!</v>
      </c>
      <c r="V23" s="173"/>
      <c r="W23" s="172" t="s">
        <v>684</v>
      </c>
      <c r="X23" s="176">
        <v>0</v>
      </c>
      <c r="Y23" s="176" t="e">
        <f t="shared" si="5"/>
        <v>#VALUE!</v>
      </c>
      <c r="Z23" s="542"/>
      <c r="AA23" s="543"/>
    </row>
    <row r="24" spans="1:27" x14ac:dyDescent="0.25">
      <c r="A24" s="403"/>
      <c r="B24" s="403"/>
      <c r="C24" s="404"/>
      <c r="D24" s="404"/>
      <c r="E24" s="404"/>
      <c r="F24" s="56">
        <v>5.2</v>
      </c>
      <c r="G24" s="56">
        <v>7.86</v>
      </c>
      <c r="H24" s="404"/>
      <c r="I24" s="404"/>
      <c r="J24" s="243" t="s">
        <v>627</v>
      </c>
      <c r="K24" s="241" t="s">
        <v>643</v>
      </c>
      <c r="L24" s="244" t="s">
        <v>627</v>
      </c>
      <c r="M24" s="167" t="s">
        <v>2</v>
      </c>
      <c r="N24" s="167" t="s">
        <v>4</v>
      </c>
      <c r="O24" s="258" t="s">
        <v>120</v>
      </c>
      <c r="P24" s="185">
        <v>36.978000000000002</v>
      </c>
      <c r="Q24" s="185">
        <v>36.889000000000003</v>
      </c>
      <c r="R24" s="186">
        <v>45939</v>
      </c>
      <c r="S24" s="177" t="e">
        <f t="shared" si="1"/>
        <v>#VALUE!</v>
      </c>
      <c r="T24" s="171" t="e">
        <f t="shared" si="2"/>
        <v>#VALUE!</v>
      </c>
      <c r="U24" s="175" t="e">
        <f t="shared" si="3"/>
        <v>#VALUE!</v>
      </c>
      <c r="V24" s="173"/>
      <c r="W24" s="172" t="s">
        <v>684</v>
      </c>
      <c r="X24" s="176">
        <v>0</v>
      </c>
      <c r="Y24" s="176" t="e">
        <f t="shared" si="5"/>
        <v>#VALUE!</v>
      </c>
      <c r="Z24" s="542"/>
      <c r="AA24" s="543"/>
    </row>
    <row r="25" spans="1:27" x14ac:dyDescent="0.25">
      <c r="A25" s="403">
        <v>9</v>
      </c>
      <c r="B25" s="403" t="s">
        <v>117</v>
      </c>
      <c r="C25" s="404" t="s">
        <v>609</v>
      </c>
      <c r="D25" s="404" t="s">
        <v>341</v>
      </c>
      <c r="E25" s="404" t="s">
        <v>168</v>
      </c>
      <c r="F25" s="404">
        <v>2.5</v>
      </c>
      <c r="G25" s="404">
        <v>7.86</v>
      </c>
      <c r="H25" s="404" t="s">
        <v>625</v>
      </c>
      <c r="I25" s="404" t="s">
        <v>271</v>
      </c>
      <c r="J25" s="565">
        <v>45089</v>
      </c>
      <c r="K25" s="539" t="s">
        <v>644</v>
      </c>
      <c r="L25" s="540">
        <v>17.54</v>
      </c>
      <c r="M25" s="371" t="s">
        <v>2</v>
      </c>
      <c r="N25" s="371" t="s">
        <v>4</v>
      </c>
      <c r="O25" s="568" t="s">
        <v>4</v>
      </c>
      <c r="P25" s="567">
        <v>17.541</v>
      </c>
      <c r="Q25" s="567">
        <v>17.527000000000001</v>
      </c>
      <c r="R25" s="557">
        <v>45939</v>
      </c>
      <c r="S25" s="556">
        <f t="shared" si="1"/>
        <v>850</v>
      </c>
      <c r="T25" s="555">
        <f>L25-Q25</f>
        <v>1.2999999999998124E-2</v>
      </c>
      <c r="U25" s="555">
        <f t="shared" si="3"/>
        <v>2.999999999998124E-3</v>
      </c>
      <c r="V25" s="544">
        <f t="shared" si="4"/>
        <v>3.9999999999974986E-3</v>
      </c>
      <c r="W25" s="556" t="s">
        <v>684</v>
      </c>
      <c r="X25" s="556">
        <v>0</v>
      </c>
      <c r="Y25" s="556">
        <f t="shared" si="5"/>
        <v>0</v>
      </c>
      <c r="Z25" s="542"/>
      <c r="AA25" s="543"/>
    </row>
    <row r="26" spans="1:27" x14ac:dyDescent="0.25">
      <c r="A26" s="403"/>
      <c r="B26" s="403"/>
      <c r="C26" s="404"/>
      <c r="D26" s="404"/>
      <c r="E26" s="404"/>
      <c r="F26" s="404"/>
      <c r="G26" s="404"/>
      <c r="H26" s="404"/>
      <c r="I26" s="404"/>
      <c r="J26" s="566"/>
      <c r="K26" s="539"/>
      <c r="L26" s="540"/>
      <c r="M26" s="371"/>
      <c r="N26" s="371"/>
      <c r="O26" s="568"/>
      <c r="P26" s="567"/>
      <c r="Q26" s="567"/>
      <c r="R26" s="551"/>
      <c r="S26" s="520"/>
      <c r="T26" s="554"/>
      <c r="U26" s="554"/>
      <c r="V26" s="546"/>
      <c r="W26" s="520"/>
      <c r="X26" s="520"/>
      <c r="Y26" s="520"/>
      <c r="Z26" s="542"/>
      <c r="AA26" s="543"/>
    </row>
    <row r="27" spans="1:27" x14ac:dyDescent="0.25">
      <c r="A27" s="403">
        <v>10</v>
      </c>
      <c r="B27" s="403" t="s">
        <v>614</v>
      </c>
      <c r="C27" s="404" t="s">
        <v>609</v>
      </c>
      <c r="D27" s="404" t="s">
        <v>341</v>
      </c>
      <c r="E27" s="404" t="s">
        <v>168</v>
      </c>
      <c r="F27" s="404">
        <v>2.5</v>
      </c>
      <c r="G27" s="404">
        <v>7.86</v>
      </c>
      <c r="H27" s="404" t="s">
        <v>621</v>
      </c>
      <c r="I27" s="404" t="s">
        <v>271</v>
      </c>
      <c r="J27" s="565">
        <v>45089</v>
      </c>
      <c r="K27" s="539" t="s">
        <v>645</v>
      </c>
      <c r="L27" s="541" t="s">
        <v>627</v>
      </c>
      <c r="M27" s="371" t="s">
        <v>2</v>
      </c>
      <c r="N27" s="371" t="s">
        <v>4</v>
      </c>
      <c r="O27" s="563" t="s">
        <v>120</v>
      </c>
      <c r="P27" s="567">
        <v>17.227</v>
      </c>
      <c r="Q27" s="567">
        <v>17.204000000000001</v>
      </c>
      <c r="R27" s="557">
        <v>45939</v>
      </c>
      <c r="S27" s="556">
        <f t="shared" si="1"/>
        <v>850</v>
      </c>
      <c r="T27" s="555" t="e">
        <f>L27-Q27</f>
        <v>#VALUE!</v>
      </c>
      <c r="U27" s="555" t="e">
        <f>T27-0.01</f>
        <v>#VALUE!</v>
      </c>
      <c r="V27" s="544"/>
      <c r="W27" s="556" t="s">
        <v>684</v>
      </c>
      <c r="X27" s="556">
        <v>0</v>
      </c>
      <c r="Y27" s="556">
        <f t="shared" si="5"/>
        <v>0</v>
      </c>
      <c r="Z27" s="542"/>
      <c r="AA27" s="543"/>
    </row>
    <row r="28" spans="1:27" x14ac:dyDescent="0.25">
      <c r="A28" s="403"/>
      <c r="B28" s="403"/>
      <c r="C28" s="404"/>
      <c r="D28" s="404"/>
      <c r="E28" s="404"/>
      <c r="F28" s="404"/>
      <c r="G28" s="404"/>
      <c r="H28" s="404"/>
      <c r="I28" s="404"/>
      <c r="J28" s="566"/>
      <c r="K28" s="539"/>
      <c r="L28" s="541"/>
      <c r="M28" s="371"/>
      <c r="N28" s="371"/>
      <c r="O28" s="563"/>
      <c r="P28" s="567"/>
      <c r="Q28" s="567"/>
      <c r="R28" s="551"/>
      <c r="S28" s="520"/>
      <c r="T28" s="554"/>
      <c r="U28" s="554"/>
      <c r="V28" s="546"/>
      <c r="W28" s="520"/>
      <c r="X28" s="520"/>
      <c r="Y28" s="520"/>
      <c r="Z28" s="542"/>
      <c r="AA28" s="543"/>
    </row>
    <row r="29" spans="1:27" x14ac:dyDescent="0.25">
      <c r="A29" s="403">
        <v>11</v>
      </c>
      <c r="B29" s="403" t="s">
        <v>117</v>
      </c>
      <c r="C29" s="404" t="s">
        <v>609</v>
      </c>
      <c r="D29" s="404" t="s">
        <v>89</v>
      </c>
      <c r="E29" s="404" t="s">
        <v>168</v>
      </c>
      <c r="F29" s="56">
        <v>5.2</v>
      </c>
      <c r="G29" s="56">
        <v>7.86</v>
      </c>
      <c r="H29" s="404" t="s">
        <v>621</v>
      </c>
      <c r="I29" s="404" t="s">
        <v>317</v>
      </c>
      <c r="J29" s="189">
        <v>45083</v>
      </c>
      <c r="K29" s="241" t="s">
        <v>646</v>
      </c>
      <c r="L29" s="204">
        <v>36.688800000000001</v>
      </c>
      <c r="M29" s="167" t="s">
        <v>2</v>
      </c>
      <c r="N29" s="167" t="s">
        <v>4</v>
      </c>
      <c r="O29" s="167" t="s">
        <v>4</v>
      </c>
      <c r="P29" s="185">
        <v>36.713000000000001</v>
      </c>
      <c r="Q29" s="185">
        <v>36.654000000000003</v>
      </c>
      <c r="R29" s="186">
        <v>45939</v>
      </c>
      <c r="S29" s="177">
        <f t="shared" si="1"/>
        <v>856</v>
      </c>
      <c r="T29" s="171">
        <f>L29-Q29</f>
        <v>3.4799999999997056E-2</v>
      </c>
      <c r="U29" s="175">
        <f t="shared" si="3"/>
        <v>2.4799999999997054E-2</v>
      </c>
      <c r="V29" s="173">
        <f t="shared" si="4"/>
        <v>1.5786005271984704E-2</v>
      </c>
      <c r="W29" s="172" t="s">
        <v>684</v>
      </c>
      <c r="X29" s="176">
        <v>0</v>
      </c>
      <c r="Y29" s="176">
        <f t="shared" si="5"/>
        <v>0</v>
      </c>
      <c r="Z29" s="542"/>
      <c r="AA29" s="543"/>
    </row>
    <row r="30" spans="1:27" x14ac:dyDescent="0.25">
      <c r="A30" s="403"/>
      <c r="B30" s="403"/>
      <c r="C30" s="404"/>
      <c r="D30" s="404"/>
      <c r="E30" s="404"/>
      <c r="F30" s="56">
        <v>5.2</v>
      </c>
      <c r="G30" s="56">
        <v>7.86</v>
      </c>
      <c r="H30" s="404"/>
      <c r="I30" s="404"/>
      <c r="J30" s="189">
        <v>45083</v>
      </c>
      <c r="K30" s="241" t="s">
        <v>647</v>
      </c>
      <c r="L30" s="204">
        <v>36.866500000000002</v>
      </c>
      <c r="M30" s="167" t="s">
        <v>2</v>
      </c>
      <c r="N30" s="167" t="s">
        <v>4</v>
      </c>
      <c r="O30" s="167" t="s">
        <v>4</v>
      </c>
      <c r="P30" s="185">
        <v>36.911000000000001</v>
      </c>
      <c r="Q30" s="185">
        <v>36.850999999999999</v>
      </c>
      <c r="R30" s="186">
        <v>45939</v>
      </c>
      <c r="S30" s="177">
        <f t="shared" si="1"/>
        <v>856</v>
      </c>
      <c r="T30" s="171">
        <f t="shared" ref="T30:T38" si="6">L30-Q30</f>
        <v>1.5500000000002956E-2</v>
      </c>
      <c r="U30" s="175">
        <f t="shared" si="3"/>
        <v>5.5000000000029556E-3</v>
      </c>
      <c r="V30" s="173">
        <f t="shared" si="4"/>
        <v>3.5009285885472924E-3</v>
      </c>
      <c r="W30" s="172" t="s">
        <v>684</v>
      </c>
      <c r="X30" s="176">
        <v>0</v>
      </c>
      <c r="Y30" s="176">
        <f t="shared" si="5"/>
        <v>0</v>
      </c>
      <c r="Z30" s="542"/>
      <c r="AA30" s="543"/>
    </row>
    <row r="31" spans="1:27" x14ac:dyDescent="0.25">
      <c r="A31" s="403">
        <v>12</v>
      </c>
      <c r="B31" s="403" t="s">
        <v>117</v>
      </c>
      <c r="C31" s="404" t="s">
        <v>609</v>
      </c>
      <c r="D31" s="404" t="s">
        <v>89</v>
      </c>
      <c r="E31" s="404" t="s">
        <v>168</v>
      </c>
      <c r="F31" s="56">
        <v>5.2</v>
      </c>
      <c r="G31" s="56">
        <v>7.86</v>
      </c>
      <c r="H31" s="404" t="s">
        <v>622</v>
      </c>
      <c r="I31" s="404" t="s">
        <v>317</v>
      </c>
      <c r="J31" s="189">
        <v>45084</v>
      </c>
      <c r="K31" s="241" t="s">
        <v>648</v>
      </c>
      <c r="L31" s="204">
        <v>36.9863</v>
      </c>
      <c r="M31" s="167" t="s">
        <v>2</v>
      </c>
      <c r="N31" s="167" t="s">
        <v>4</v>
      </c>
      <c r="O31" s="167" t="s">
        <v>4</v>
      </c>
      <c r="P31" s="185">
        <v>37.100999999999999</v>
      </c>
      <c r="Q31" s="185">
        <v>36.869</v>
      </c>
      <c r="R31" s="186">
        <v>45942</v>
      </c>
      <c r="S31" s="177">
        <f t="shared" ref="S31:S35" si="7">R31-J31</f>
        <v>858</v>
      </c>
      <c r="T31" s="171">
        <f t="shared" si="6"/>
        <v>0.11730000000000018</v>
      </c>
      <c r="U31" s="175">
        <f t="shared" si="3"/>
        <v>0.10730000000000019</v>
      </c>
      <c r="V31" s="173">
        <f t="shared" si="4"/>
        <v>6.8140726794573059E-2</v>
      </c>
      <c r="W31" s="172" t="s">
        <v>684</v>
      </c>
      <c r="X31" s="176">
        <v>0</v>
      </c>
      <c r="Y31" s="176">
        <f t="shared" si="5"/>
        <v>0</v>
      </c>
      <c r="Z31" s="542"/>
      <c r="AA31" s="543"/>
    </row>
    <row r="32" spans="1:27" x14ac:dyDescent="0.25">
      <c r="A32" s="403"/>
      <c r="B32" s="403"/>
      <c r="C32" s="404"/>
      <c r="D32" s="404"/>
      <c r="E32" s="404"/>
      <c r="F32" s="56">
        <v>5.2</v>
      </c>
      <c r="G32" s="56">
        <v>7.86</v>
      </c>
      <c r="H32" s="404"/>
      <c r="I32" s="404"/>
      <c r="J32" s="189">
        <v>45084</v>
      </c>
      <c r="K32" s="241" t="s">
        <v>649</v>
      </c>
      <c r="L32" s="204">
        <v>36.8245</v>
      </c>
      <c r="M32" s="167" t="s">
        <v>2</v>
      </c>
      <c r="N32" s="167" t="s">
        <v>4</v>
      </c>
      <c r="O32" s="167" t="s">
        <v>4</v>
      </c>
      <c r="P32" s="185">
        <v>36.939</v>
      </c>
      <c r="Q32" s="185">
        <v>36.719000000000001</v>
      </c>
      <c r="R32" s="186">
        <v>45942</v>
      </c>
      <c r="S32" s="177">
        <f t="shared" si="7"/>
        <v>858</v>
      </c>
      <c r="T32" s="171">
        <f t="shared" si="6"/>
        <v>0.10549999999999926</v>
      </c>
      <c r="U32" s="175">
        <f t="shared" si="3"/>
        <v>9.5499999999999266E-2</v>
      </c>
      <c r="V32" s="173">
        <f t="shared" si="4"/>
        <v>6.0647151993305372E-2</v>
      </c>
      <c r="W32" s="172" t="s">
        <v>684</v>
      </c>
      <c r="X32" s="176">
        <v>0</v>
      </c>
      <c r="Y32" s="176">
        <f t="shared" si="5"/>
        <v>0</v>
      </c>
      <c r="Z32" s="542"/>
      <c r="AA32" s="543"/>
    </row>
    <row r="33" spans="1:27" x14ac:dyDescent="0.25">
      <c r="A33" s="403">
        <v>13</v>
      </c>
      <c r="B33" s="403" t="s">
        <v>616</v>
      </c>
      <c r="C33" s="404" t="s">
        <v>609</v>
      </c>
      <c r="D33" s="404" t="s">
        <v>89</v>
      </c>
      <c r="E33" s="404" t="s">
        <v>168</v>
      </c>
      <c r="F33" s="56">
        <v>5.2</v>
      </c>
      <c r="G33" s="56">
        <v>7.86</v>
      </c>
      <c r="H33" s="404" t="s">
        <v>621</v>
      </c>
      <c r="I33" s="404" t="s">
        <v>317</v>
      </c>
      <c r="J33" s="189">
        <v>45085</v>
      </c>
      <c r="K33" s="241" t="s">
        <v>650</v>
      </c>
      <c r="L33" s="204">
        <v>36.971499999999999</v>
      </c>
      <c r="M33" s="167" t="s">
        <v>2</v>
      </c>
      <c r="N33" s="167" t="s">
        <v>4</v>
      </c>
      <c r="O33" s="167" t="s">
        <v>4</v>
      </c>
      <c r="P33" s="185">
        <v>36.975000000000001</v>
      </c>
      <c r="Q33" s="185">
        <v>36.936999999999998</v>
      </c>
      <c r="R33" s="186">
        <v>45942</v>
      </c>
      <c r="S33" s="177">
        <f t="shared" si="7"/>
        <v>857</v>
      </c>
      <c r="T33" s="171">
        <f t="shared" si="6"/>
        <v>3.4500000000001307E-2</v>
      </c>
      <c r="U33" s="175">
        <f t="shared" si="3"/>
        <v>2.4500000000001305E-2</v>
      </c>
      <c r="V33" s="173">
        <f t="shared" si="4"/>
        <v>1.5576848278132655E-2</v>
      </c>
      <c r="W33" s="172" t="s">
        <v>684</v>
      </c>
      <c r="X33" s="176">
        <v>0</v>
      </c>
      <c r="Y33" s="176">
        <f t="shared" si="5"/>
        <v>0</v>
      </c>
      <c r="Z33" s="542"/>
      <c r="AA33" s="543"/>
    </row>
    <row r="34" spans="1:27" x14ac:dyDescent="0.25">
      <c r="A34" s="403"/>
      <c r="B34" s="403"/>
      <c r="C34" s="404"/>
      <c r="D34" s="404"/>
      <c r="E34" s="404"/>
      <c r="F34" s="56">
        <v>5.2</v>
      </c>
      <c r="G34" s="56">
        <v>7.86</v>
      </c>
      <c r="H34" s="404"/>
      <c r="I34" s="404"/>
      <c r="J34" s="189">
        <v>45085</v>
      </c>
      <c r="K34" s="241" t="s">
        <v>651</v>
      </c>
      <c r="L34" s="204">
        <v>36.938200000000002</v>
      </c>
      <c r="M34" s="167" t="s">
        <v>2</v>
      </c>
      <c r="N34" s="167" t="s">
        <v>4</v>
      </c>
      <c r="O34" s="167" t="s">
        <v>4</v>
      </c>
      <c r="P34" s="185">
        <v>36.941000000000003</v>
      </c>
      <c r="Q34" s="185">
        <v>36.908999999999999</v>
      </c>
      <c r="R34" s="186">
        <v>45942</v>
      </c>
      <c r="S34" s="177">
        <f t="shared" si="7"/>
        <v>857</v>
      </c>
      <c r="T34" s="171">
        <f t="shared" si="6"/>
        <v>2.9200000000003001E-2</v>
      </c>
      <c r="U34" s="175">
        <f t="shared" si="3"/>
        <v>1.9200000000002999E-2</v>
      </c>
      <c r="V34" s="173">
        <f t="shared" si="4"/>
        <v>1.2207162732252152E-2</v>
      </c>
      <c r="W34" s="172" t="s">
        <v>684</v>
      </c>
      <c r="X34" s="176">
        <v>0</v>
      </c>
      <c r="Y34" s="176">
        <f t="shared" si="5"/>
        <v>0</v>
      </c>
      <c r="Z34" s="542"/>
      <c r="AA34" s="543"/>
    </row>
    <row r="35" spans="1:27" x14ac:dyDescent="0.25">
      <c r="A35" s="403">
        <v>14</v>
      </c>
      <c r="B35" s="403" t="s">
        <v>617</v>
      </c>
      <c r="C35" s="404" t="s">
        <v>609</v>
      </c>
      <c r="D35" s="404" t="s">
        <v>89</v>
      </c>
      <c r="E35" s="404" t="s">
        <v>168</v>
      </c>
      <c r="F35" s="56">
        <v>5.2</v>
      </c>
      <c r="G35" s="56">
        <v>7.86</v>
      </c>
      <c r="H35" s="404" t="s">
        <v>621</v>
      </c>
      <c r="I35" s="404" t="s">
        <v>317</v>
      </c>
      <c r="J35" s="189">
        <v>45085</v>
      </c>
      <c r="K35" s="241" t="s">
        <v>652</v>
      </c>
      <c r="L35" s="204">
        <v>37.120100000000001</v>
      </c>
      <c r="M35" s="167" t="s">
        <v>2</v>
      </c>
      <c r="N35" s="167" t="s">
        <v>4</v>
      </c>
      <c r="O35" s="167" t="s">
        <v>4</v>
      </c>
      <c r="P35" s="185">
        <v>37.119999999999997</v>
      </c>
      <c r="Q35" s="185">
        <v>37.093000000000004</v>
      </c>
      <c r="R35" s="186">
        <v>45942</v>
      </c>
      <c r="S35" s="177">
        <f t="shared" si="7"/>
        <v>857</v>
      </c>
      <c r="T35" s="171">
        <f t="shared" si="6"/>
        <v>2.7099999999997237E-2</v>
      </c>
      <c r="U35" s="175">
        <f t="shared" si="3"/>
        <v>1.7099999999997235E-2</v>
      </c>
      <c r="V35" s="173">
        <f t="shared" si="4"/>
        <v>1.0872004308408617E-2</v>
      </c>
      <c r="W35" s="172" t="s">
        <v>684</v>
      </c>
      <c r="X35" s="176">
        <v>0</v>
      </c>
      <c r="Y35" s="176">
        <f t="shared" si="5"/>
        <v>0</v>
      </c>
      <c r="Z35" s="542"/>
      <c r="AA35" s="543"/>
    </row>
    <row r="36" spans="1:27" x14ac:dyDescent="0.25">
      <c r="A36" s="403"/>
      <c r="B36" s="403"/>
      <c r="C36" s="404"/>
      <c r="D36" s="404"/>
      <c r="E36" s="404"/>
      <c r="F36" s="56">
        <v>5.2</v>
      </c>
      <c r="G36" s="56">
        <v>7.86</v>
      </c>
      <c r="H36" s="404"/>
      <c r="I36" s="404"/>
      <c r="J36" s="189">
        <v>45085</v>
      </c>
      <c r="K36" s="241" t="s">
        <v>653</v>
      </c>
      <c r="L36" s="204">
        <v>36.886099999999999</v>
      </c>
      <c r="M36" s="167" t="s">
        <v>2</v>
      </c>
      <c r="N36" s="167" t="s">
        <v>4</v>
      </c>
      <c r="O36" s="167" t="s">
        <v>4</v>
      </c>
      <c r="P36" s="185">
        <v>36.887</v>
      </c>
      <c r="Q36" s="185">
        <v>36.863999999999997</v>
      </c>
      <c r="R36" s="186">
        <v>45942</v>
      </c>
      <c r="S36" s="177">
        <f>R36-J36</f>
        <v>857</v>
      </c>
      <c r="T36" s="171">
        <f t="shared" si="6"/>
        <v>2.2100000000001785E-2</v>
      </c>
      <c r="U36" s="175">
        <f t="shared" si="3"/>
        <v>1.2100000000001785E-2</v>
      </c>
      <c r="V36" s="173">
        <f t="shared" si="4"/>
        <v>7.6930556802213409E-3</v>
      </c>
      <c r="W36" s="172" t="s">
        <v>684</v>
      </c>
      <c r="X36" s="176">
        <v>0</v>
      </c>
      <c r="Y36" s="176">
        <f t="shared" si="5"/>
        <v>0</v>
      </c>
      <c r="Z36" s="542"/>
      <c r="AA36" s="543"/>
    </row>
    <row r="37" spans="1:27" x14ac:dyDescent="0.25">
      <c r="A37" s="403">
        <v>15</v>
      </c>
      <c r="B37" s="403" t="s">
        <v>618</v>
      </c>
      <c r="C37" s="404" t="s">
        <v>609</v>
      </c>
      <c r="D37" s="404" t="s">
        <v>89</v>
      </c>
      <c r="E37" s="404" t="s">
        <v>168</v>
      </c>
      <c r="F37" s="56">
        <v>5.2</v>
      </c>
      <c r="G37" s="56">
        <v>7.86</v>
      </c>
      <c r="H37" s="404" t="s">
        <v>626</v>
      </c>
      <c r="I37" s="404" t="s">
        <v>317</v>
      </c>
      <c r="J37" s="243" t="s">
        <v>627</v>
      </c>
      <c r="K37" s="241" t="s">
        <v>654</v>
      </c>
      <c r="L37" s="244" t="s">
        <v>627</v>
      </c>
      <c r="M37" s="167" t="s">
        <v>2</v>
      </c>
      <c r="N37" s="167" t="s">
        <v>4</v>
      </c>
      <c r="O37" s="258" t="s">
        <v>120</v>
      </c>
      <c r="P37" s="185">
        <v>37.509</v>
      </c>
      <c r="Q37" s="185">
        <v>37.465000000000003</v>
      </c>
      <c r="R37" s="186">
        <v>45942</v>
      </c>
      <c r="S37" s="177" t="e">
        <f t="shared" ref="S37:S38" si="8">R37-J37</f>
        <v>#VALUE!</v>
      </c>
      <c r="T37" s="171" t="e">
        <f>L37-Q37</f>
        <v>#VALUE!</v>
      </c>
      <c r="U37" s="175" t="e">
        <f t="shared" si="3"/>
        <v>#VALUE!</v>
      </c>
      <c r="V37" s="173" t="e">
        <f t="shared" si="4"/>
        <v>#VALUE!</v>
      </c>
      <c r="W37" s="172" t="s">
        <v>684</v>
      </c>
      <c r="X37" s="176">
        <v>0</v>
      </c>
      <c r="Y37" s="176" t="e">
        <f t="shared" si="5"/>
        <v>#VALUE!</v>
      </c>
      <c r="Z37" s="542"/>
      <c r="AA37" s="543"/>
    </row>
    <row r="38" spans="1:27" x14ac:dyDescent="0.25">
      <c r="A38" s="403"/>
      <c r="B38" s="403"/>
      <c r="C38" s="404"/>
      <c r="D38" s="404"/>
      <c r="E38" s="404"/>
      <c r="F38" s="56">
        <v>5.2</v>
      </c>
      <c r="G38" s="56">
        <v>7.86</v>
      </c>
      <c r="H38" s="404"/>
      <c r="I38" s="404"/>
      <c r="J38" s="243" t="s">
        <v>627</v>
      </c>
      <c r="K38" s="241" t="s">
        <v>655</v>
      </c>
      <c r="L38" s="244" t="s">
        <v>627</v>
      </c>
      <c r="M38" s="167" t="s">
        <v>2</v>
      </c>
      <c r="N38" s="167" t="s">
        <v>4</v>
      </c>
      <c r="O38" s="258" t="s">
        <v>120</v>
      </c>
      <c r="P38" s="185">
        <v>37.33</v>
      </c>
      <c r="Q38" s="185">
        <v>37.290999999999997</v>
      </c>
      <c r="R38" s="186">
        <v>45942</v>
      </c>
      <c r="S38" s="177" t="e">
        <f t="shared" si="8"/>
        <v>#VALUE!</v>
      </c>
      <c r="T38" s="171" t="e">
        <f t="shared" si="6"/>
        <v>#VALUE!</v>
      </c>
      <c r="U38" s="175" t="e">
        <f t="shared" si="3"/>
        <v>#VALUE!</v>
      </c>
      <c r="V38" s="173" t="e">
        <f t="shared" si="4"/>
        <v>#VALUE!</v>
      </c>
      <c r="W38" s="172" t="s">
        <v>684</v>
      </c>
      <c r="X38" s="176">
        <v>0</v>
      </c>
      <c r="Y38" s="176" t="e">
        <f t="shared" si="5"/>
        <v>#VALUE!</v>
      </c>
      <c r="Z38" s="542"/>
      <c r="AA38" s="543"/>
    </row>
    <row r="39" spans="1:27" x14ac:dyDescent="0.25">
      <c r="A39" s="403">
        <v>16</v>
      </c>
      <c r="B39" s="403" t="s">
        <v>619</v>
      </c>
      <c r="C39" s="404" t="s">
        <v>609</v>
      </c>
      <c r="D39" s="404" t="s">
        <v>89</v>
      </c>
      <c r="E39" s="404" t="s">
        <v>168</v>
      </c>
      <c r="F39" s="56">
        <v>5.2</v>
      </c>
      <c r="G39" s="56">
        <v>7.86</v>
      </c>
      <c r="H39" s="404" t="s">
        <v>621</v>
      </c>
      <c r="I39" s="404" t="s">
        <v>317</v>
      </c>
      <c r="J39" s="243" t="s">
        <v>627</v>
      </c>
      <c r="K39" s="243" t="s">
        <v>627</v>
      </c>
      <c r="L39" s="244" t="s">
        <v>627</v>
      </c>
      <c r="M39" s="194" t="s">
        <v>123</v>
      </c>
      <c r="N39" s="258" t="s">
        <v>124</v>
      </c>
      <c r="O39" s="258" t="s">
        <v>120</v>
      </c>
      <c r="P39" s="185"/>
      <c r="Q39" s="185"/>
      <c r="R39" s="186"/>
      <c r="S39" s="177"/>
      <c r="T39" s="171"/>
      <c r="U39" s="175"/>
      <c r="V39" s="173"/>
      <c r="W39" s="247"/>
      <c r="X39" s="247"/>
      <c r="Y39" s="247"/>
      <c r="Z39" s="542"/>
      <c r="AA39" s="543"/>
    </row>
    <row r="40" spans="1:27" ht="13.8" thickBot="1" x14ac:dyDescent="0.3">
      <c r="A40" s="365"/>
      <c r="B40" s="365"/>
      <c r="C40" s="385"/>
      <c r="D40" s="385"/>
      <c r="E40" s="385"/>
      <c r="F40" s="60">
        <v>5.2</v>
      </c>
      <c r="G40" s="60">
        <v>7.86</v>
      </c>
      <c r="H40" s="385"/>
      <c r="I40" s="385"/>
      <c r="J40" s="248" t="s">
        <v>627</v>
      </c>
      <c r="K40" s="248" t="s">
        <v>627</v>
      </c>
      <c r="L40" s="245" t="s">
        <v>627</v>
      </c>
      <c r="M40" s="255" t="s">
        <v>123</v>
      </c>
      <c r="N40" s="260" t="s">
        <v>124</v>
      </c>
      <c r="O40" s="260" t="s">
        <v>120</v>
      </c>
      <c r="P40" s="188"/>
      <c r="Q40" s="188"/>
      <c r="R40" s="240"/>
      <c r="S40" s="183"/>
      <c r="T40" s="190"/>
      <c r="U40" s="181"/>
      <c r="V40" s="259"/>
      <c r="W40" s="251"/>
      <c r="X40" s="251"/>
      <c r="Y40" s="251"/>
      <c r="Z40" s="544"/>
      <c r="AA40" s="545"/>
    </row>
    <row r="41" spans="1:27" ht="13.8" thickBot="1" x14ac:dyDescent="0.3">
      <c r="A41" s="416" t="s">
        <v>658</v>
      </c>
      <c r="B41" s="417"/>
      <c r="C41" s="417"/>
      <c r="D41" s="417"/>
      <c r="E41" s="417"/>
      <c r="F41" s="417"/>
      <c r="G41" s="417"/>
      <c r="H41" s="417"/>
      <c r="I41" s="417"/>
      <c r="J41" s="196"/>
      <c r="K41" s="416"/>
      <c r="L41" s="417"/>
      <c r="M41" s="417"/>
      <c r="N41" s="417"/>
      <c r="O41" s="417"/>
      <c r="P41" s="417"/>
      <c r="Q41" s="417"/>
      <c r="R41" s="417"/>
      <c r="S41" s="417"/>
      <c r="T41" s="417"/>
      <c r="U41" s="417"/>
      <c r="V41" s="417"/>
      <c r="W41" s="417"/>
      <c r="X41" s="417"/>
      <c r="Y41" s="417"/>
      <c r="Z41" s="417"/>
      <c r="AA41" s="418"/>
    </row>
    <row r="42" spans="1:27" x14ac:dyDescent="0.25">
      <c r="A42" s="564">
        <v>17</v>
      </c>
      <c r="B42" s="570" t="s">
        <v>659</v>
      </c>
      <c r="C42" s="531" t="s">
        <v>609</v>
      </c>
      <c r="D42" s="531" t="s">
        <v>89</v>
      </c>
      <c r="E42" s="531" t="s">
        <v>168</v>
      </c>
      <c r="F42" s="62">
        <v>5.2</v>
      </c>
      <c r="G42" s="62">
        <v>7.86</v>
      </c>
      <c r="H42" s="531" t="s">
        <v>660</v>
      </c>
      <c r="I42" s="531" t="s">
        <v>317</v>
      </c>
      <c r="J42" s="237">
        <v>45236</v>
      </c>
      <c r="K42" s="242" t="s">
        <v>663</v>
      </c>
      <c r="L42" s="229">
        <v>36.827599999999997</v>
      </c>
      <c r="M42" s="167" t="s">
        <v>2</v>
      </c>
      <c r="N42" s="167" t="s">
        <v>4</v>
      </c>
      <c r="O42" s="167" t="s">
        <v>4</v>
      </c>
      <c r="P42" s="191">
        <v>36.832999999999998</v>
      </c>
      <c r="Q42" s="191">
        <v>36.804000000000002</v>
      </c>
      <c r="R42" s="192">
        <v>45945</v>
      </c>
      <c r="S42" s="173">
        <f t="shared" si="1"/>
        <v>709</v>
      </c>
      <c r="T42" s="171">
        <f t="shared" si="2"/>
        <v>2.3599999999994736E-2</v>
      </c>
      <c r="U42" s="171">
        <f t="shared" si="3"/>
        <v>1.3599999999994736E-2</v>
      </c>
      <c r="V42" s="173">
        <f t="shared" si="4"/>
        <v>1.0451701565942936E-2</v>
      </c>
      <c r="W42" s="172" t="s">
        <v>684</v>
      </c>
      <c r="X42" s="176">
        <v>0</v>
      </c>
      <c r="Y42" s="176">
        <f t="shared" ref="Y42:Y45" si="9">((X42*365)/S42)*39.4</f>
        <v>0</v>
      </c>
      <c r="Z42" s="546"/>
      <c r="AA42" s="547"/>
    </row>
    <row r="43" spans="1:27" x14ac:dyDescent="0.25">
      <c r="A43" s="364"/>
      <c r="B43" s="366"/>
      <c r="C43" s="386"/>
      <c r="D43" s="386"/>
      <c r="E43" s="386"/>
      <c r="F43" s="56">
        <v>5.2</v>
      </c>
      <c r="G43" s="56">
        <v>7.86</v>
      </c>
      <c r="H43" s="386"/>
      <c r="I43" s="386"/>
      <c r="J43" s="189">
        <v>45236</v>
      </c>
      <c r="K43" s="242" t="s">
        <v>662</v>
      </c>
      <c r="L43" s="229">
        <v>37.177100000000003</v>
      </c>
      <c r="M43" s="167" t="s">
        <v>2</v>
      </c>
      <c r="N43" s="167" t="s">
        <v>4</v>
      </c>
      <c r="O43" s="167" t="s">
        <v>4</v>
      </c>
      <c r="P43" s="185">
        <v>37.18</v>
      </c>
      <c r="Q43" s="185">
        <v>37.152999999999999</v>
      </c>
      <c r="R43" s="186">
        <v>45945</v>
      </c>
      <c r="S43" s="177">
        <f t="shared" si="1"/>
        <v>709</v>
      </c>
      <c r="T43" s="171">
        <f t="shared" si="2"/>
        <v>2.4100000000004229E-2</v>
      </c>
      <c r="U43" s="175">
        <f t="shared" si="3"/>
        <v>1.4100000000004229E-2</v>
      </c>
      <c r="V43" s="173">
        <f t="shared" si="4"/>
        <v>1.0835955299992402E-2</v>
      </c>
      <c r="W43" s="172" t="s">
        <v>684</v>
      </c>
      <c r="X43" s="176">
        <v>0</v>
      </c>
      <c r="Y43" s="176">
        <f t="shared" si="9"/>
        <v>0</v>
      </c>
      <c r="Z43" s="542"/>
      <c r="AA43" s="543"/>
    </row>
    <row r="44" spans="1:27" x14ac:dyDescent="0.25">
      <c r="A44" s="363">
        <v>18</v>
      </c>
      <c r="B44" s="365" t="s">
        <v>661</v>
      </c>
      <c r="C44" s="385" t="s">
        <v>609</v>
      </c>
      <c r="D44" s="385" t="s">
        <v>89</v>
      </c>
      <c r="E44" s="385" t="s">
        <v>168</v>
      </c>
      <c r="F44" s="56">
        <v>5.2</v>
      </c>
      <c r="G44" s="56">
        <v>7.86</v>
      </c>
      <c r="H44" s="385" t="s">
        <v>660</v>
      </c>
      <c r="I44" s="385" t="s">
        <v>317</v>
      </c>
      <c r="J44" s="189">
        <v>45236</v>
      </c>
      <c r="K44" s="241" t="s">
        <v>664</v>
      </c>
      <c r="L44" s="204">
        <v>37.3536</v>
      </c>
      <c r="M44" s="167" t="s">
        <v>2</v>
      </c>
      <c r="N44" s="167" t="s">
        <v>4</v>
      </c>
      <c r="O44" s="167" t="s">
        <v>4</v>
      </c>
      <c r="P44" s="185">
        <v>37.354999999999997</v>
      </c>
      <c r="Q44" s="185">
        <v>37.332999999999998</v>
      </c>
      <c r="R44" s="186">
        <v>45945</v>
      </c>
      <c r="S44" s="177">
        <f t="shared" si="1"/>
        <v>709</v>
      </c>
      <c r="T44" s="171">
        <f t="shared" si="2"/>
        <v>2.0600000000001728E-2</v>
      </c>
      <c r="U44" s="175">
        <f t="shared" si="3"/>
        <v>1.0600000000001728E-2</v>
      </c>
      <c r="V44" s="173">
        <f t="shared" si="4"/>
        <v>8.1461791616952994E-3</v>
      </c>
      <c r="W44" s="172" t="s">
        <v>684</v>
      </c>
      <c r="X44" s="176">
        <v>0</v>
      </c>
      <c r="Y44" s="176">
        <f t="shared" si="9"/>
        <v>0</v>
      </c>
      <c r="Z44" s="542"/>
      <c r="AA44" s="543"/>
    </row>
    <row r="45" spans="1:27" ht="13.8" thickBot="1" x14ac:dyDescent="0.3">
      <c r="A45" s="564"/>
      <c r="B45" s="570"/>
      <c r="C45" s="531"/>
      <c r="D45" s="531"/>
      <c r="E45" s="531"/>
      <c r="F45" s="60">
        <v>5.2</v>
      </c>
      <c r="G45" s="60">
        <v>7.86</v>
      </c>
      <c r="H45" s="531"/>
      <c r="I45" s="531"/>
      <c r="J45" s="236">
        <v>45236</v>
      </c>
      <c r="K45" s="253" t="s">
        <v>665</v>
      </c>
      <c r="L45" s="254">
        <v>36.808599999999998</v>
      </c>
      <c r="M45" s="167" t="s">
        <v>2</v>
      </c>
      <c r="N45" s="167" t="s">
        <v>4</v>
      </c>
      <c r="O45" s="167" t="s">
        <v>4</v>
      </c>
      <c r="P45" s="188">
        <v>36.811</v>
      </c>
      <c r="Q45" s="188">
        <v>36.784999999999997</v>
      </c>
      <c r="R45" s="240">
        <v>45945</v>
      </c>
      <c r="S45" s="183">
        <f t="shared" si="1"/>
        <v>709</v>
      </c>
      <c r="T45" s="190">
        <f t="shared" si="2"/>
        <v>2.3600000000001842E-2</v>
      </c>
      <c r="U45" s="181">
        <f t="shared" si="3"/>
        <v>1.3600000000001842E-2</v>
      </c>
      <c r="V45" s="259">
        <f t="shared" si="4"/>
        <v>1.0451701565948397E-2</v>
      </c>
      <c r="W45" s="172" t="s">
        <v>684</v>
      </c>
      <c r="X45" s="176">
        <v>0</v>
      </c>
      <c r="Y45" s="176">
        <f t="shared" si="9"/>
        <v>0</v>
      </c>
      <c r="Z45" s="544"/>
      <c r="AA45" s="545"/>
    </row>
    <row r="46" spans="1:27" ht="13.8" thickBot="1" x14ac:dyDescent="0.3">
      <c r="A46" s="416" t="s">
        <v>670</v>
      </c>
      <c r="B46" s="417"/>
      <c r="C46" s="417"/>
      <c r="D46" s="417"/>
      <c r="E46" s="417"/>
      <c r="F46" s="417"/>
      <c r="G46" s="417"/>
      <c r="H46" s="417"/>
      <c r="I46" s="417"/>
      <c r="J46" s="196"/>
      <c r="K46" s="416"/>
      <c r="L46" s="417"/>
      <c r="M46" s="417"/>
      <c r="N46" s="417"/>
      <c r="O46" s="417"/>
      <c r="P46" s="417"/>
      <c r="Q46" s="417"/>
      <c r="R46" s="417"/>
      <c r="S46" s="417"/>
      <c r="T46" s="417"/>
      <c r="U46" s="417"/>
      <c r="V46" s="417"/>
      <c r="W46" s="417"/>
      <c r="X46" s="417"/>
      <c r="Y46" s="417"/>
      <c r="Z46" s="417"/>
      <c r="AA46" s="418"/>
    </row>
    <row r="47" spans="1:27" x14ac:dyDescent="0.25">
      <c r="A47" s="564">
        <v>19</v>
      </c>
      <c r="B47" s="570" t="s">
        <v>666</v>
      </c>
      <c r="C47" s="531" t="s">
        <v>668</v>
      </c>
      <c r="D47" s="531" t="s">
        <v>341</v>
      </c>
      <c r="E47" s="531" t="s">
        <v>168</v>
      </c>
      <c r="F47" s="62">
        <v>2.5</v>
      </c>
      <c r="G47" s="62">
        <v>7.86</v>
      </c>
      <c r="H47" s="531" t="s">
        <v>669</v>
      </c>
      <c r="I47" s="531" t="s">
        <v>317</v>
      </c>
      <c r="J47" s="559" t="s">
        <v>627</v>
      </c>
      <c r="K47" s="569" t="s">
        <v>685</v>
      </c>
      <c r="L47" s="559" t="s">
        <v>627</v>
      </c>
      <c r="M47" s="560" t="s">
        <v>2</v>
      </c>
      <c r="N47" s="371" t="s">
        <v>4</v>
      </c>
      <c r="O47" s="562" t="s">
        <v>120</v>
      </c>
      <c r="P47" s="548">
        <v>18.471</v>
      </c>
      <c r="Q47" s="548">
        <v>18.442</v>
      </c>
      <c r="R47" s="550">
        <v>45944</v>
      </c>
      <c r="S47" s="552">
        <f>R48-J48</f>
        <v>0</v>
      </c>
      <c r="T47" s="553">
        <f>L48-Q48</f>
        <v>0</v>
      </c>
      <c r="U47" s="553">
        <f>T47-0.01</f>
        <v>-0.01</v>
      </c>
      <c r="V47" s="561" t="e">
        <f>(U47*22270)/(S47*G47*F47)</f>
        <v>#DIV/0!</v>
      </c>
      <c r="W47" s="561" t="s">
        <v>684</v>
      </c>
      <c r="X47" s="561">
        <v>0</v>
      </c>
      <c r="Y47" s="561" t="e">
        <f>((X47*365)/S47)*39.4</f>
        <v>#DIV/0!</v>
      </c>
      <c r="Z47" s="546"/>
      <c r="AA47" s="547"/>
    </row>
    <row r="48" spans="1:27" ht="13.8" thickBot="1" x14ac:dyDescent="0.3">
      <c r="A48" s="364"/>
      <c r="B48" s="366"/>
      <c r="C48" s="386"/>
      <c r="D48" s="386"/>
      <c r="E48" s="386"/>
      <c r="F48" s="56">
        <v>2.5</v>
      </c>
      <c r="G48" s="56">
        <v>7.86</v>
      </c>
      <c r="H48" s="386"/>
      <c r="I48" s="386"/>
      <c r="J48" s="375"/>
      <c r="K48" s="377"/>
      <c r="L48" s="375"/>
      <c r="M48" s="373"/>
      <c r="N48" s="371"/>
      <c r="O48" s="563"/>
      <c r="P48" s="549"/>
      <c r="Q48" s="549"/>
      <c r="R48" s="551"/>
      <c r="S48" s="520"/>
      <c r="T48" s="554"/>
      <c r="U48" s="554"/>
      <c r="V48" s="520"/>
      <c r="W48" s="520"/>
      <c r="X48" s="520"/>
      <c r="Y48" s="520"/>
      <c r="Z48" s="542"/>
      <c r="AA48" s="543"/>
    </row>
    <row r="49" spans="1:27" x14ac:dyDescent="0.25">
      <c r="A49" s="363">
        <v>20</v>
      </c>
      <c r="B49" s="365" t="s">
        <v>667</v>
      </c>
      <c r="C49" s="385" t="s">
        <v>668</v>
      </c>
      <c r="D49" s="385" t="s">
        <v>341</v>
      </c>
      <c r="E49" s="385" t="s">
        <v>168</v>
      </c>
      <c r="F49" s="56">
        <v>2.5</v>
      </c>
      <c r="G49" s="56">
        <v>7.86</v>
      </c>
      <c r="H49" s="385" t="s">
        <v>669</v>
      </c>
      <c r="I49" s="385" t="s">
        <v>317</v>
      </c>
      <c r="J49" s="378" t="s">
        <v>627</v>
      </c>
      <c r="K49" s="380" t="s">
        <v>672</v>
      </c>
      <c r="L49" s="378" t="s">
        <v>627</v>
      </c>
      <c r="M49" s="372" t="s">
        <v>2</v>
      </c>
      <c r="N49" s="371" t="s">
        <v>4</v>
      </c>
      <c r="O49" s="563" t="s">
        <v>120</v>
      </c>
      <c r="P49" s="558">
        <v>17.888000000000002</v>
      </c>
      <c r="Q49" s="558">
        <v>17.861000000000001</v>
      </c>
      <c r="R49" s="557">
        <v>45944</v>
      </c>
      <c r="S49" s="556">
        <f>R50-J50</f>
        <v>0</v>
      </c>
      <c r="T49" s="555">
        <f>L50-Q50</f>
        <v>0</v>
      </c>
      <c r="U49" s="555">
        <f>T49-0.01</f>
        <v>-0.01</v>
      </c>
      <c r="V49" s="561" t="e">
        <f>(U49*22270)/(S49*G49*F49)</f>
        <v>#DIV/0!</v>
      </c>
      <c r="W49" s="561" t="s">
        <v>684</v>
      </c>
      <c r="X49" s="556">
        <v>0</v>
      </c>
      <c r="Y49" s="556" t="e">
        <f t="shared" ref="Y49" si="10">((X49*365)/S49)*39.4</f>
        <v>#DIV/0!</v>
      </c>
      <c r="Z49" s="542"/>
      <c r="AA49" s="543"/>
    </row>
    <row r="50" spans="1:27" ht="13.8" thickBot="1" x14ac:dyDescent="0.3">
      <c r="A50" s="564"/>
      <c r="B50" s="570"/>
      <c r="C50" s="531"/>
      <c r="D50" s="531"/>
      <c r="E50" s="531"/>
      <c r="F50" s="60">
        <v>2.5</v>
      </c>
      <c r="G50" s="60">
        <v>7.86</v>
      </c>
      <c r="H50" s="531"/>
      <c r="I50" s="531"/>
      <c r="J50" s="559"/>
      <c r="K50" s="569"/>
      <c r="L50" s="559"/>
      <c r="M50" s="560"/>
      <c r="N50" s="371"/>
      <c r="O50" s="600"/>
      <c r="P50" s="548"/>
      <c r="Q50" s="548"/>
      <c r="R50" s="550"/>
      <c r="S50" s="552"/>
      <c r="T50" s="553"/>
      <c r="U50" s="553"/>
      <c r="V50" s="520"/>
      <c r="W50" s="520"/>
      <c r="X50" s="599"/>
      <c r="Y50" s="599"/>
      <c r="Z50" s="544"/>
      <c r="AA50" s="545"/>
    </row>
    <row r="51" spans="1:27" ht="13.8" thickBot="1" x14ac:dyDescent="0.3">
      <c r="A51" s="416" t="s">
        <v>683</v>
      </c>
      <c r="B51" s="417"/>
      <c r="C51" s="417"/>
      <c r="D51" s="417"/>
      <c r="E51" s="417"/>
      <c r="F51" s="417"/>
      <c r="G51" s="417"/>
      <c r="H51" s="417"/>
      <c r="I51" s="417"/>
      <c r="J51" s="196"/>
      <c r="K51" s="416"/>
      <c r="L51" s="417"/>
      <c r="M51" s="417"/>
      <c r="N51" s="417"/>
      <c r="O51" s="417"/>
      <c r="P51" s="417"/>
      <c r="Q51" s="417"/>
      <c r="R51" s="417"/>
      <c r="S51" s="417"/>
      <c r="T51" s="417"/>
      <c r="U51" s="417"/>
      <c r="V51" s="417"/>
      <c r="W51" s="417"/>
      <c r="X51" s="417"/>
      <c r="Y51" s="417"/>
      <c r="Z51" s="417"/>
      <c r="AA51" s="418"/>
    </row>
    <row r="52" spans="1:27" x14ac:dyDescent="0.25">
      <c r="A52" s="564">
        <v>21</v>
      </c>
      <c r="B52" s="570" t="s">
        <v>673</v>
      </c>
      <c r="C52" s="571" t="s">
        <v>678</v>
      </c>
      <c r="D52" s="531" t="s">
        <v>89</v>
      </c>
      <c r="E52" s="531" t="s">
        <v>168</v>
      </c>
      <c r="F52" s="62">
        <v>5.2</v>
      </c>
      <c r="G52" s="62">
        <v>7.86</v>
      </c>
      <c r="H52" s="531" t="s">
        <v>669</v>
      </c>
      <c r="I52" s="531" t="s">
        <v>317</v>
      </c>
      <c r="J52" s="237">
        <v>45236</v>
      </c>
      <c r="K52" s="242" t="s">
        <v>681</v>
      </c>
      <c r="L52" s="229">
        <v>36.826999999999998</v>
      </c>
      <c r="M52" s="167" t="s">
        <v>2</v>
      </c>
      <c r="N52" s="167" t="s">
        <v>4</v>
      </c>
      <c r="O52" s="167" t="s">
        <v>4</v>
      </c>
      <c r="P52" s="191">
        <v>36.85</v>
      </c>
      <c r="Q52" s="191">
        <v>36.807000000000002</v>
      </c>
      <c r="R52" s="192">
        <v>45945</v>
      </c>
      <c r="S52" s="173">
        <f t="shared" si="1"/>
        <v>709</v>
      </c>
      <c r="T52" s="171">
        <f t="shared" si="2"/>
        <v>1.9999999999996021E-2</v>
      </c>
      <c r="U52" s="171">
        <f t="shared" si="3"/>
        <v>9.9999999999960208E-3</v>
      </c>
      <c r="V52" s="173">
        <f t="shared" si="4"/>
        <v>7.6850746808403104E-3</v>
      </c>
      <c r="W52" s="172" t="s">
        <v>684</v>
      </c>
      <c r="X52" s="176">
        <v>0</v>
      </c>
      <c r="Y52" s="176">
        <f t="shared" ref="Y52:Y53" si="11">((X52*365)/S52)*39.4</f>
        <v>0</v>
      </c>
      <c r="Z52" s="546"/>
      <c r="AA52" s="547"/>
    </row>
    <row r="53" spans="1:27" x14ac:dyDescent="0.25">
      <c r="A53" s="364"/>
      <c r="B53" s="366"/>
      <c r="C53" s="368"/>
      <c r="D53" s="386"/>
      <c r="E53" s="386"/>
      <c r="F53" s="56">
        <v>5.2</v>
      </c>
      <c r="G53" s="56">
        <v>7.86</v>
      </c>
      <c r="H53" s="386"/>
      <c r="I53" s="386"/>
      <c r="J53" s="189">
        <v>45236</v>
      </c>
      <c r="K53" s="242" t="s">
        <v>682</v>
      </c>
      <c r="L53" s="229">
        <v>37.262799999999999</v>
      </c>
      <c r="M53" s="167" t="s">
        <v>2</v>
      </c>
      <c r="N53" s="167" t="s">
        <v>4</v>
      </c>
      <c r="O53" s="167" t="s">
        <v>4</v>
      </c>
      <c r="P53" s="185">
        <v>37.277000000000001</v>
      </c>
      <c r="Q53" s="185">
        <v>37.243000000000002</v>
      </c>
      <c r="R53" s="186">
        <v>45945</v>
      </c>
      <c r="S53" s="177">
        <f t="shared" si="1"/>
        <v>709</v>
      </c>
      <c r="T53" s="171">
        <f t="shared" si="2"/>
        <v>1.9799999999996487E-2</v>
      </c>
      <c r="U53" s="175">
        <f t="shared" si="3"/>
        <v>9.7999999999964869E-3</v>
      </c>
      <c r="V53" s="173">
        <f t="shared" si="4"/>
        <v>7.5313731872238016E-3</v>
      </c>
      <c r="W53" s="172" t="s">
        <v>684</v>
      </c>
      <c r="X53" s="176">
        <v>0</v>
      </c>
      <c r="Y53" s="176">
        <f t="shared" si="11"/>
        <v>0</v>
      </c>
      <c r="Z53" s="542"/>
      <c r="AA53" s="543"/>
    </row>
    <row r="54" spans="1:27" x14ac:dyDescent="0.25">
      <c r="A54" s="363">
        <v>22</v>
      </c>
      <c r="B54" s="365" t="s">
        <v>674</v>
      </c>
      <c r="C54" s="367" t="s">
        <v>609</v>
      </c>
      <c r="D54" s="243" t="s">
        <v>627</v>
      </c>
      <c r="E54" s="243" t="s">
        <v>627</v>
      </c>
      <c r="F54" s="243" t="s">
        <v>627</v>
      </c>
      <c r="G54" s="243" t="s">
        <v>627</v>
      </c>
      <c r="H54" s="243" t="s">
        <v>627</v>
      </c>
      <c r="I54" s="243" t="s">
        <v>627</v>
      </c>
      <c r="J54" s="243" t="s">
        <v>627</v>
      </c>
      <c r="K54" s="243" t="s">
        <v>627</v>
      </c>
      <c r="L54" s="243" t="s">
        <v>627</v>
      </c>
      <c r="M54" s="194" t="s">
        <v>123</v>
      </c>
      <c r="N54" s="258" t="s">
        <v>124</v>
      </c>
      <c r="O54" s="258" t="s">
        <v>120</v>
      </c>
      <c r="P54" s="185"/>
      <c r="Q54" s="185"/>
      <c r="R54" s="186"/>
      <c r="S54" s="177"/>
      <c r="T54" s="171"/>
      <c r="U54" s="175"/>
      <c r="V54" s="173"/>
      <c r="W54" s="247"/>
      <c r="X54" s="247"/>
      <c r="Y54" s="247"/>
      <c r="Z54" s="542"/>
      <c r="AA54" s="543"/>
    </row>
    <row r="55" spans="1:27" x14ac:dyDescent="0.25">
      <c r="A55" s="364"/>
      <c r="B55" s="366"/>
      <c r="C55" s="368"/>
      <c r="D55" s="243" t="s">
        <v>627</v>
      </c>
      <c r="E55" s="243" t="s">
        <v>627</v>
      </c>
      <c r="F55" s="243" t="s">
        <v>627</v>
      </c>
      <c r="G55" s="243" t="s">
        <v>627</v>
      </c>
      <c r="H55" s="243" t="s">
        <v>627</v>
      </c>
      <c r="I55" s="243" t="s">
        <v>627</v>
      </c>
      <c r="J55" s="243" t="s">
        <v>627</v>
      </c>
      <c r="K55" s="243" t="s">
        <v>627</v>
      </c>
      <c r="L55" s="243" t="s">
        <v>627</v>
      </c>
      <c r="M55" s="194" t="s">
        <v>123</v>
      </c>
      <c r="N55" s="258" t="s">
        <v>124</v>
      </c>
      <c r="O55" s="258" t="s">
        <v>120</v>
      </c>
      <c r="P55" s="185"/>
      <c r="Q55" s="185"/>
      <c r="R55" s="186"/>
      <c r="S55" s="177"/>
      <c r="T55" s="171"/>
      <c r="U55" s="175"/>
      <c r="V55" s="173"/>
      <c r="W55" s="247"/>
      <c r="X55" s="247"/>
      <c r="Y55" s="247"/>
      <c r="Z55" s="542"/>
      <c r="AA55" s="543"/>
    </row>
    <row r="56" spans="1:27" x14ac:dyDescent="0.25">
      <c r="A56" s="363">
        <v>23</v>
      </c>
      <c r="B56" s="365" t="s">
        <v>675</v>
      </c>
      <c r="C56" s="367" t="s">
        <v>679</v>
      </c>
      <c r="D56" s="243" t="s">
        <v>627</v>
      </c>
      <c r="E56" s="243" t="s">
        <v>627</v>
      </c>
      <c r="F56" s="243" t="s">
        <v>627</v>
      </c>
      <c r="G56" s="243" t="s">
        <v>627</v>
      </c>
      <c r="H56" s="243" t="s">
        <v>627</v>
      </c>
      <c r="I56" s="243" t="s">
        <v>627</v>
      </c>
      <c r="J56" s="243" t="s">
        <v>627</v>
      </c>
      <c r="K56" s="243" t="s">
        <v>627</v>
      </c>
      <c r="L56" s="243" t="s">
        <v>627</v>
      </c>
      <c r="M56" s="194" t="s">
        <v>123</v>
      </c>
      <c r="N56" s="258" t="s">
        <v>124</v>
      </c>
      <c r="O56" s="258" t="s">
        <v>120</v>
      </c>
      <c r="P56" s="185"/>
      <c r="Q56" s="185"/>
      <c r="R56" s="186"/>
      <c r="S56" s="177"/>
      <c r="T56" s="171"/>
      <c r="U56" s="175"/>
      <c r="V56" s="173"/>
      <c r="W56" s="247"/>
      <c r="X56" s="247"/>
      <c r="Y56" s="247"/>
      <c r="Z56" s="542"/>
      <c r="AA56" s="543"/>
    </row>
    <row r="57" spans="1:27" x14ac:dyDescent="0.25">
      <c r="A57" s="364"/>
      <c r="B57" s="366"/>
      <c r="C57" s="368"/>
      <c r="D57" s="243" t="s">
        <v>627</v>
      </c>
      <c r="E57" s="243" t="s">
        <v>627</v>
      </c>
      <c r="F57" s="243" t="s">
        <v>627</v>
      </c>
      <c r="G57" s="243" t="s">
        <v>627</v>
      </c>
      <c r="H57" s="243" t="s">
        <v>627</v>
      </c>
      <c r="I57" s="243" t="s">
        <v>627</v>
      </c>
      <c r="J57" s="243" t="s">
        <v>627</v>
      </c>
      <c r="K57" s="243" t="s">
        <v>627</v>
      </c>
      <c r="L57" s="243" t="s">
        <v>627</v>
      </c>
      <c r="M57" s="194" t="s">
        <v>123</v>
      </c>
      <c r="N57" s="258" t="s">
        <v>124</v>
      </c>
      <c r="O57" s="258" t="s">
        <v>120</v>
      </c>
      <c r="P57" s="185"/>
      <c r="Q57" s="185"/>
      <c r="R57" s="186"/>
      <c r="S57" s="177"/>
      <c r="T57" s="171"/>
      <c r="U57" s="175"/>
      <c r="V57" s="173"/>
      <c r="W57" s="247"/>
      <c r="X57" s="247"/>
      <c r="Y57" s="247"/>
      <c r="Z57" s="542"/>
      <c r="AA57" s="543"/>
    </row>
    <row r="58" spans="1:27" x14ac:dyDescent="0.25">
      <c r="A58" s="363">
        <v>24</v>
      </c>
      <c r="B58" s="365" t="s">
        <v>676</v>
      </c>
      <c r="C58" s="367" t="s">
        <v>680</v>
      </c>
      <c r="D58" s="243" t="s">
        <v>627</v>
      </c>
      <c r="E58" s="243" t="s">
        <v>627</v>
      </c>
      <c r="F58" s="243" t="s">
        <v>627</v>
      </c>
      <c r="G58" s="243" t="s">
        <v>627</v>
      </c>
      <c r="H58" s="243" t="s">
        <v>627</v>
      </c>
      <c r="I58" s="243" t="s">
        <v>627</v>
      </c>
      <c r="J58" s="243" t="s">
        <v>627</v>
      </c>
      <c r="K58" s="243" t="s">
        <v>627</v>
      </c>
      <c r="L58" s="243" t="s">
        <v>627</v>
      </c>
      <c r="M58" s="194" t="s">
        <v>123</v>
      </c>
      <c r="N58" s="258" t="s">
        <v>124</v>
      </c>
      <c r="O58" s="258" t="s">
        <v>120</v>
      </c>
      <c r="P58" s="185"/>
      <c r="Q58" s="185"/>
      <c r="R58" s="186"/>
      <c r="S58" s="177"/>
      <c r="T58" s="171"/>
      <c r="U58" s="175"/>
      <c r="V58" s="173"/>
      <c r="W58" s="247"/>
      <c r="X58" s="247"/>
      <c r="Y58" s="247"/>
      <c r="Z58" s="542"/>
      <c r="AA58" s="543"/>
    </row>
    <row r="59" spans="1:27" x14ac:dyDescent="0.25">
      <c r="A59" s="364"/>
      <c r="B59" s="366"/>
      <c r="C59" s="368"/>
      <c r="D59" s="243" t="s">
        <v>627</v>
      </c>
      <c r="E59" s="243" t="s">
        <v>627</v>
      </c>
      <c r="F59" s="243" t="s">
        <v>627</v>
      </c>
      <c r="G59" s="243" t="s">
        <v>627</v>
      </c>
      <c r="H59" s="243" t="s">
        <v>627</v>
      </c>
      <c r="I59" s="243" t="s">
        <v>627</v>
      </c>
      <c r="J59" s="243" t="s">
        <v>627</v>
      </c>
      <c r="K59" s="243" t="s">
        <v>627</v>
      </c>
      <c r="L59" s="243" t="s">
        <v>627</v>
      </c>
      <c r="M59" s="194" t="s">
        <v>123</v>
      </c>
      <c r="N59" s="258" t="s">
        <v>124</v>
      </c>
      <c r="O59" s="258" t="s">
        <v>120</v>
      </c>
      <c r="P59" s="185"/>
      <c r="Q59" s="185"/>
      <c r="R59" s="186"/>
      <c r="S59" s="177"/>
      <c r="T59" s="171"/>
      <c r="U59" s="175"/>
      <c r="V59" s="173"/>
      <c r="W59" s="247"/>
      <c r="X59" s="247"/>
      <c r="Y59" s="247"/>
      <c r="Z59" s="542"/>
      <c r="AA59" s="543"/>
    </row>
    <row r="60" spans="1:27" x14ac:dyDescent="0.25">
      <c r="A60" s="363">
        <v>25</v>
      </c>
      <c r="B60" s="365" t="s">
        <v>677</v>
      </c>
      <c r="C60" s="367" t="s">
        <v>680</v>
      </c>
      <c r="D60" s="243" t="s">
        <v>627</v>
      </c>
      <c r="E60" s="243" t="s">
        <v>627</v>
      </c>
      <c r="F60" s="243" t="s">
        <v>627</v>
      </c>
      <c r="G60" s="243" t="s">
        <v>627</v>
      </c>
      <c r="H60" s="243" t="s">
        <v>627</v>
      </c>
      <c r="I60" s="243" t="s">
        <v>627</v>
      </c>
      <c r="J60" s="243" t="s">
        <v>627</v>
      </c>
      <c r="K60" s="243" t="s">
        <v>627</v>
      </c>
      <c r="L60" s="243" t="s">
        <v>627</v>
      </c>
      <c r="M60" s="194" t="s">
        <v>123</v>
      </c>
      <c r="N60" s="258" t="s">
        <v>124</v>
      </c>
      <c r="O60" s="258" t="s">
        <v>120</v>
      </c>
      <c r="P60" s="185"/>
      <c r="Q60" s="185"/>
      <c r="R60" s="186"/>
      <c r="S60" s="177"/>
      <c r="T60" s="171"/>
      <c r="U60" s="175"/>
      <c r="V60" s="173"/>
      <c r="W60" s="247"/>
      <c r="X60" s="247"/>
      <c r="Y60" s="247"/>
      <c r="Z60" s="542"/>
      <c r="AA60" s="543"/>
    </row>
    <row r="61" spans="1:27" x14ac:dyDescent="0.25">
      <c r="A61" s="364"/>
      <c r="B61" s="366"/>
      <c r="C61" s="368"/>
      <c r="D61" s="243" t="s">
        <v>627</v>
      </c>
      <c r="E61" s="243" t="s">
        <v>627</v>
      </c>
      <c r="F61" s="243" t="s">
        <v>627</v>
      </c>
      <c r="G61" s="243" t="s">
        <v>627</v>
      </c>
      <c r="H61" s="243" t="s">
        <v>627</v>
      </c>
      <c r="I61" s="243" t="s">
        <v>627</v>
      </c>
      <c r="J61" s="243" t="s">
        <v>627</v>
      </c>
      <c r="K61" s="243" t="s">
        <v>627</v>
      </c>
      <c r="L61" s="243" t="s">
        <v>627</v>
      </c>
      <c r="M61" s="194" t="s">
        <v>123</v>
      </c>
      <c r="N61" s="258" t="s">
        <v>124</v>
      </c>
      <c r="O61" s="258" t="s">
        <v>120</v>
      </c>
      <c r="P61" s="185"/>
      <c r="Q61" s="185"/>
      <c r="R61" s="186"/>
      <c r="S61" s="177"/>
      <c r="T61" s="171"/>
      <c r="U61" s="175"/>
      <c r="V61" s="173"/>
      <c r="W61" s="247"/>
      <c r="X61" s="247"/>
      <c r="Y61" s="247"/>
      <c r="Z61" s="542"/>
      <c r="AA61" s="543"/>
    </row>
  </sheetData>
  <mergeCells count="305">
    <mergeCell ref="X25:X26"/>
    <mergeCell ref="X27:X28"/>
    <mergeCell ref="X49:X50"/>
    <mergeCell ref="X47:X48"/>
    <mergeCell ref="Y27:Y28"/>
    <mergeCell ref="Y25:Y26"/>
    <mergeCell ref="Y47:Y48"/>
    <mergeCell ref="Y49:Y50"/>
    <mergeCell ref="I9:I10"/>
    <mergeCell ref="I19:I20"/>
    <mergeCell ref="I23:I24"/>
    <mergeCell ref="I31:I32"/>
    <mergeCell ref="I42:I43"/>
    <mergeCell ref="I39:I40"/>
    <mergeCell ref="K25:K26"/>
    <mergeCell ref="K27:K28"/>
    <mergeCell ref="I47:I48"/>
    <mergeCell ref="J47:J48"/>
    <mergeCell ref="K47:K48"/>
    <mergeCell ref="L47:L48"/>
    <mergeCell ref="M47:M48"/>
    <mergeCell ref="N47:N48"/>
    <mergeCell ref="O49:O50"/>
    <mergeCell ref="I49:I50"/>
    <mergeCell ref="A1:L1"/>
    <mergeCell ref="M1:O1"/>
    <mergeCell ref="P1:AA1"/>
    <mergeCell ref="A2:C2"/>
    <mergeCell ref="D2:L2"/>
    <mergeCell ref="M2:M3"/>
    <mergeCell ref="N2:N3"/>
    <mergeCell ref="O2:O3"/>
    <mergeCell ref="P2:P3"/>
    <mergeCell ref="Q2:Q3"/>
    <mergeCell ref="Z2:AA3"/>
    <mergeCell ref="A11:A12"/>
    <mergeCell ref="B11:B12"/>
    <mergeCell ref="C11:C12"/>
    <mergeCell ref="D11:D12"/>
    <mergeCell ref="E11:E12"/>
    <mergeCell ref="X2:X3"/>
    <mergeCell ref="Y2:Y3"/>
    <mergeCell ref="H11:H12"/>
    <mergeCell ref="I11:I12"/>
    <mergeCell ref="J8:AA8"/>
    <mergeCell ref="A7:AA7"/>
    <mergeCell ref="A8:I8"/>
    <mergeCell ref="A9:A10"/>
    <mergeCell ref="B9:B10"/>
    <mergeCell ref="C9:C10"/>
    <mergeCell ref="D9:D10"/>
    <mergeCell ref="E9:E10"/>
    <mergeCell ref="R2:R3"/>
    <mergeCell ref="S2:S3"/>
    <mergeCell ref="T2:T3"/>
    <mergeCell ref="U2:U3"/>
    <mergeCell ref="V2:V3"/>
    <mergeCell ref="W2:W3"/>
    <mergeCell ref="H9:H10"/>
    <mergeCell ref="A13:A14"/>
    <mergeCell ref="B13:B14"/>
    <mergeCell ref="C13:C14"/>
    <mergeCell ref="D13:D14"/>
    <mergeCell ref="E13:E14"/>
    <mergeCell ref="H13:H14"/>
    <mergeCell ref="I13:I14"/>
    <mergeCell ref="I15:I16"/>
    <mergeCell ref="A17:A18"/>
    <mergeCell ref="B17:B18"/>
    <mergeCell ref="C17:C18"/>
    <mergeCell ref="D17:D18"/>
    <mergeCell ref="E17:E18"/>
    <mergeCell ref="H17:H18"/>
    <mergeCell ref="I17:I18"/>
    <mergeCell ref="A15:A16"/>
    <mergeCell ref="B15:B16"/>
    <mergeCell ref="C15:C16"/>
    <mergeCell ref="D15:D16"/>
    <mergeCell ref="E15:E16"/>
    <mergeCell ref="H15:H16"/>
    <mergeCell ref="A21:A22"/>
    <mergeCell ref="B21:B22"/>
    <mergeCell ref="C21:C22"/>
    <mergeCell ref="D21:D22"/>
    <mergeCell ref="E21:E22"/>
    <mergeCell ref="H21:H22"/>
    <mergeCell ref="I21:I22"/>
    <mergeCell ref="A19:A20"/>
    <mergeCell ref="B19:B20"/>
    <mergeCell ref="C19:C20"/>
    <mergeCell ref="D19:D20"/>
    <mergeCell ref="E19:E20"/>
    <mergeCell ref="H19:H20"/>
    <mergeCell ref="A23:A24"/>
    <mergeCell ref="B23:B24"/>
    <mergeCell ref="C23:C24"/>
    <mergeCell ref="D23:D24"/>
    <mergeCell ref="E23:E24"/>
    <mergeCell ref="H23:H24"/>
    <mergeCell ref="G27:G28"/>
    <mergeCell ref="H27:H28"/>
    <mergeCell ref="I27:I28"/>
    <mergeCell ref="A25:A26"/>
    <mergeCell ref="B25:B26"/>
    <mergeCell ref="C25:C26"/>
    <mergeCell ref="D25:D26"/>
    <mergeCell ref="E25:E26"/>
    <mergeCell ref="F25:F26"/>
    <mergeCell ref="G25:G26"/>
    <mergeCell ref="H25:H26"/>
    <mergeCell ref="I25:I26"/>
    <mergeCell ref="A29:A30"/>
    <mergeCell ref="B29:B30"/>
    <mergeCell ref="C29:C30"/>
    <mergeCell ref="D29:D30"/>
    <mergeCell ref="E29:E30"/>
    <mergeCell ref="H29:H30"/>
    <mergeCell ref="I29:I30"/>
    <mergeCell ref="A27:A28"/>
    <mergeCell ref="B27:B28"/>
    <mergeCell ref="C27:C28"/>
    <mergeCell ref="D27:D28"/>
    <mergeCell ref="E27:E28"/>
    <mergeCell ref="F27:F28"/>
    <mergeCell ref="A33:A34"/>
    <mergeCell ref="B33:B34"/>
    <mergeCell ref="C33:C34"/>
    <mergeCell ref="D33:D34"/>
    <mergeCell ref="E33:E34"/>
    <mergeCell ref="H33:H34"/>
    <mergeCell ref="I33:I34"/>
    <mergeCell ref="A31:A32"/>
    <mergeCell ref="B31:B32"/>
    <mergeCell ref="C31:C32"/>
    <mergeCell ref="D31:D32"/>
    <mergeCell ref="E31:E32"/>
    <mergeCell ref="H31:H32"/>
    <mergeCell ref="A39:A40"/>
    <mergeCell ref="B39:B40"/>
    <mergeCell ref="C39:C40"/>
    <mergeCell ref="D39:D40"/>
    <mergeCell ref="E39:E40"/>
    <mergeCell ref="H39:H40"/>
    <mergeCell ref="I35:I36"/>
    <mergeCell ref="A37:A38"/>
    <mergeCell ref="B37:B38"/>
    <mergeCell ref="C37:C38"/>
    <mergeCell ref="D37:D38"/>
    <mergeCell ref="E37:E38"/>
    <mergeCell ref="H37:H38"/>
    <mergeCell ref="I37:I38"/>
    <mergeCell ref="A35:A36"/>
    <mergeCell ref="B35:B36"/>
    <mergeCell ref="C35:C36"/>
    <mergeCell ref="D35:D36"/>
    <mergeCell ref="E35:E36"/>
    <mergeCell ref="H35:H36"/>
    <mergeCell ref="B44:B45"/>
    <mergeCell ref="C44:C45"/>
    <mergeCell ref="D44:D45"/>
    <mergeCell ref="E44:E45"/>
    <mergeCell ref="H44:H45"/>
    <mergeCell ref="A42:A43"/>
    <mergeCell ref="B42:B43"/>
    <mergeCell ref="C42:C43"/>
    <mergeCell ref="D42:D43"/>
    <mergeCell ref="E42:E43"/>
    <mergeCell ref="H42:H43"/>
    <mergeCell ref="A47:A48"/>
    <mergeCell ref="B47:B48"/>
    <mergeCell ref="C47:C48"/>
    <mergeCell ref="D47:D48"/>
    <mergeCell ref="E47:E48"/>
    <mergeCell ref="H47:H48"/>
    <mergeCell ref="A49:A50"/>
    <mergeCell ref="B49:B50"/>
    <mergeCell ref="C49:C50"/>
    <mergeCell ref="D49:D50"/>
    <mergeCell ref="E49:E50"/>
    <mergeCell ref="H49:H50"/>
    <mergeCell ref="J49:J50"/>
    <mergeCell ref="K49:K50"/>
    <mergeCell ref="A60:A61"/>
    <mergeCell ref="B60:B61"/>
    <mergeCell ref="C60:C61"/>
    <mergeCell ref="A41:I41"/>
    <mergeCell ref="A46:I46"/>
    <mergeCell ref="A51:I51"/>
    <mergeCell ref="A56:A57"/>
    <mergeCell ref="B56:B57"/>
    <mergeCell ref="C56:C57"/>
    <mergeCell ref="A58:A59"/>
    <mergeCell ref="B58:B59"/>
    <mergeCell ref="C58:C59"/>
    <mergeCell ref="H52:H53"/>
    <mergeCell ref="I52:I53"/>
    <mergeCell ref="A54:A55"/>
    <mergeCell ref="B54:B55"/>
    <mergeCell ref="C54:C55"/>
    <mergeCell ref="A52:A53"/>
    <mergeCell ref="B52:B53"/>
    <mergeCell ref="C52:C53"/>
    <mergeCell ref="D52:D53"/>
    <mergeCell ref="E52:E53"/>
    <mergeCell ref="I44:I45"/>
    <mergeCell ref="A44:A45"/>
    <mergeCell ref="U25:U26"/>
    <mergeCell ref="R27:R28"/>
    <mergeCell ref="S27:S28"/>
    <mergeCell ref="T27:T28"/>
    <mergeCell ref="U27:U28"/>
    <mergeCell ref="J25:J26"/>
    <mergeCell ref="J27:J28"/>
    <mergeCell ref="Q25:Q26"/>
    <mergeCell ref="P27:P28"/>
    <mergeCell ref="Q27:Q28"/>
    <mergeCell ref="R25:R26"/>
    <mergeCell ref="S25:S26"/>
    <mergeCell ref="T25:T26"/>
    <mergeCell ref="N25:N26"/>
    <mergeCell ref="O25:O26"/>
    <mergeCell ref="N27:N28"/>
    <mergeCell ref="O27:O28"/>
    <mergeCell ref="L25:L26"/>
    <mergeCell ref="L27:L28"/>
    <mergeCell ref="M25:M26"/>
    <mergeCell ref="M27:M28"/>
    <mergeCell ref="P25:P26"/>
    <mergeCell ref="V25:V26"/>
    <mergeCell ref="V27:V2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 ref="Z25:AA25"/>
    <mergeCell ref="Z26:AA26"/>
    <mergeCell ref="Z27:AA27"/>
    <mergeCell ref="Z28:AA28"/>
    <mergeCell ref="W25:W26"/>
    <mergeCell ref="W27:W28"/>
    <mergeCell ref="Z29:AA29"/>
    <mergeCell ref="Z30:AA30"/>
    <mergeCell ref="Z31:AA31"/>
    <mergeCell ref="Z32:AA32"/>
    <mergeCell ref="Z33:AA33"/>
    <mergeCell ref="Z34:AA34"/>
    <mergeCell ref="Z35:AA35"/>
    <mergeCell ref="Z36:AA36"/>
    <mergeCell ref="Z37:AA37"/>
    <mergeCell ref="Z38:AA38"/>
    <mergeCell ref="Z39:AA39"/>
    <mergeCell ref="Z40:AA40"/>
    <mergeCell ref="Z42:AA42"/>
    <mergeCell ref="Z43:AA43"/>
    <mergeCell ref="K41:AA41"/>
    <mergeCell ref="Z44:AA44"/>
    <mergeCell ref="Z45:AA45"/>
    <mergeCell ref="Z47:AA47"/>
    <mergeCell ref="O47:O48"/>
    <mergeCell ref="W47:W48"/>
    <mergeCell ref="Z48:AA48"/>
    <mergeCell ref="Z49:AA49"/>
    <mergeCell ref="Z50:AA50"/>
    <mergeCell ref="Z52:AA52"/>
    <mergeCell ref="K46:AA46"/>
    <mergeCell ref="K51:AA51"/>
    <mergeCell ref="Q47:Q48"/>
    <mergeCell ref="R47:R48"/>
    <mergeCell ref="S47:S48"/>
    <mergeCell ref="T47:T48"/>
    <mergeCell ref="U47:U48"/>
    <mergeCell ref="U49:U50"/>
    <mergeCell ref="T49:T50"/>
    <mergeCell ref="S49:S50"/>
    <mergeCell ref="R49:R50"/>
    <mergeCell ref="Q49:Q50"/>
    <mergeCell ref="P47:P48"/>
    <mergeCell ref="P49:P50"/>
    <mergeCell ref="L49:L50"/>
    <mergeCell ref="M49:M50"/>
    <mergeCell ref="N49:N50"/>
    <mergeCell ref="V47:V48"/>
    <mergeCell ref="V49:V50"/>
    <mergeCell ref="W49:W50"/>
    <mergeCell ref="Z53:AA53"/>
    <mergeCell ref="Z54:AA54"/>
    <mergeCell ref="Z55:AA55"/>
    <mergeCell ref="Z56:AA56"/>
    <mergeCell ref="Z57:AA57"/>
    <mergeCell ref="Z58:AA58"/>
    <mergeCell ref="Z59:AA59"/>
    <mergeCell ref="Z60:AA60"/>
    <mergeCell ref="Z61:AA61"/>
  </mergeCells>
  <conditionalFormatting sqref="V9:V25 V27 V29:V40 V42:V45 V47 V49 V52:V61">
    <cfRule type="cellIs" dxfId="318" priority="1" operator="greaterThanOrEqual">
      <formula>10</formula>
    </cfRule>
    <cfRule type="cellIs" dxfId="317" priority="2" operator="between">
      <formula>5</formula>
      <formula>9.9999999999</formula>
    </cfRule>
    <cfRule type="cellIs" dxfId="316" priority="3" operator="between">
      <formula>1.00000000001</formula>
      <formula>4.999999999</formula>
    </cfRule>
    <cfRule type="cellIs" dxfId="315" priority="4" operator="between">
      <formula>0.0000000001</formula>
      <formula>1</formula>
    </cfRule>
    <cfRule type="cellIs" dxfId="314" priority="7" operator="lessThan">
      <formula>0</formula>
    </cfRule>
  </conditionalFormatting>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A146-3DDE-4797-8C05-B988764BCDCC}">
  <dimension ref="A1:AA94"/>
  <sheetViews>
    <sheetView zoomScale="70" zoomScaleNormal="70" workbookViewId="0">
      <selection activeCell="O30" sqref="O30"/>
    </sheetView>
  </sheetViews>
  <sheetFormatPr defaultRowHeight="13.8" x14ac:dyDescent="0.25"/>
  <cols>
    <col min="1" max="1" width="8.88671875" style="43"/>
    <col min="2" max="2" width="13.33203125" style="43" bestFit="1" customWidth="1"/>
    <col min="3" max="3" width="8.77734375" style="43" bestFit="1" customWidth="1"/>
    <col min="4" max="4" width="7" style="43" bestFit="1" customWidth="1"/>
    <col min="5" max="5" width="7.44140625" style="43" bestFit="1" customWidth="1"/>
    <col min="6" max="6" width="8.109375" style="43" bestFit="1" customWidth="1"/>
    <col min="7" max="7" width="8.44140625" style="43" bestFit="1" customWidth="1"/>
    <col min="8" max="8" width="12" style="43" bestFit="1" customWidth="1"/>
    <col min="9" max="9" width="8.88671875" style="43"/>
    <col min="10" max="10" width="12.44140625" style="154" bestFit="1" customWidth="1"/>
    <col min="11" max="12" width="8.88671875" style="43"/>
    <col min="13" max="13" width="12.21875" style="43" bestFit="1" customWidth="1"/>
    <col min="14" max="14" width="8.88671875" style="43"/>
    <col min="15" max="15" width="12.21875" style="43" bestFit="1" customWidth="1"/>
    <col min="16" max="16" width="10.109375" style="43" bestFit="1" customWidth="1"/>
    <col min="17" max="17" width="8.88671875" style="43"/>
    <col min="18" max="18" width="8.88671875" style="154"/>
    <col min="19" max="22" width="8.88671875" style="43"/>
    <col min="23" max="24" width="12.109375" style="43" customWidth="1"/>
    <col min="25" max="25" width="8.88671875" style="43"/>
    <col min="26" max="27" width="10.109375" style="43" customWidth="1"/>
    <col min="28" max="16384" width="8.88671875" style="43"/>
  </cols>
  <sheetData>
    <row r="1" spans="1:27" ht="14.4" thickBot="1" x14ac:dyDescent="0.3">
      <c r="A1" s="636" t="s">
        <v>306</v>
      </c>
      <c r="B1" s="637"/>
      <c r="C1" s="637"/>
      <c r="D1" s="637"/>
      <c r="E1" s="637"/>
      <c r="F1" s="637"/>
      <c r="G1" s="637"/>
      <c r="H1" s="637"/>
      <c r="I1" s="637"/>
      <c r="J1" s="637"/>
      <c r="K1" s="637"/>
      <c r="L1" s="637"/>
      <c r="M1" s="617" t="s">
        <v>8</v>
      </c>
      <c r="N1" s="617"/>
      <c r="O1" s="617"/>
      <c r="P1" s="616" t="s">
        <v>134</v>
      </c>
      <c r="Q1" s="617"/>
      <c r="R1" s="617"/>
      <c r="S1" s="617"/>
      <c r="T1" s="617"/>
      <c r="U1" s="617"/>
      <c r="V1" s="617"/>
      <c r="W1" s="617"/>
      <c r="X1" s="617"/>
      <c r="Y1" s="617"/>
      <c r="Z1" s="617"/>
      <c r="AA1" s="618"/>
    </row>
    <row r="2" spans="1:27" ht="13.8" customHeight="1" x14ac:dyDescent="0.25">
      <c r="A2" s="638" t="s">
        <v>135</v>
      </c>
      <c r="B2" s="639"/>
      <c r="C2" s="640"/>
      <c r="D2" s="638" t="s">
        <v>136</v>
      </c>
      <c r="E2" s="639"/>
      <c r="F2" s="639"/>
      <c r="G2" s="639"/>
      <c r="H2" s="639"/>
      <c r="I2" s="639"/>
      <c r="J2" s="639"/>
      <c r="K2" s="639"/>
      <c r="L2" s="639"/>
      <c r="M2" s="641" t="s">
        <v>1</v>
      </c>
      <c r="N2" s="641" t="s">
        <v>3</v>
      </c>
      <c r="O2" s="642" t="s">
        <v>1</v>
      </c>
      <c r="P2" s="643" t="s">
        <v>132</v>
      </c>
      <c r="Q2" s="643" t="s">
        <v>133</v>
      </c>
      <c r="R2" s="630" t="s">
        <v>131</v>
      </c>
      <c r="S2" s="632" t="s">
        <v>302</v>
      </c>
      <c r="T2" s="634" t="s">
        <v>303</v>
      </c>
      <c r="U2" s="626" t="s">
        <v>304</v>
      </c>
      <c r="V2" s="626" t="s">
        <v>305</v>
      </c>
      <c r="W2" s="626" t="s">
        <v>465</v>
      </c>
      <c r="X2" s="626" t="s">
        <v>470</v>
      </c>
      <c r="Y2" s="628" t="s">
        <v>467</v>
      </c>
      <c r="Z2" s="608" t="s">
        <v>468</v>
      </c>
      <c r="AA2" s="609"/>
    </row>
    <row r="3" spans="1:27" ht="71.400000000000006" thickBot="1" x14ac:dyDescent="0.3">
      <c r="A3" s="5" t="s">
        <v>431</v>
      </c>
      <c r="B3" s="119" t="s">
        <v>137</v>
      </c>
      <c r="C3" s="119" t="s">
        <v>138</v>
      </c>
      <c r="D3" s="119" t="s">
        <v>139</v>
      </c>
      <c r="E3" s="119" t="s">
        <v>140</v>
      </c>
      <c r="F3" s="5" t="s">
        <v>432</v>
      </c>
      <c r="G3" s="5" t="s">
        <v>433</v>
      </c>
      <c r="H3" s="119" t="s">
        <v>141</v>
      </c>
      <c r="I3" s="119" t="s">
        <v>142</v>
      </c>
      <c r="J3" s="120" t="s">
        <v>143</v>
      </c>
      <c r="K3" s="119" t="s">
        <v>144</v>
      </c>
      <c r="L3" s="121" t="s">
        <v>145</v>
      </c>
      <c r="M3" s="641"/>
      <c r="N3" s="641"/>
      <c r="O3" s="642"/>
      <c r="P3" s="644"/>
      <c r="Q3" s="644"/>
      <c r="R3" s="631"/>
      <c r="S3" s="633"/>
      <c r="T3" s="635"/>
      <c r="U3" s="627"/>
      <c r="V3" s="627"/>
      <c r="W3" s="627"/>
      <c r="X3" s="627"/>
      <c r="Y3" s="629"/>
      <c r="Z3" s="610"/>
      <c r="AA3" s="611"/>
    </row>
    <row r="4" spans="1:27" ht="27.6" x14ac:dyDescent="0.25">
      <c r="A4" s="122">
        <v>1</v>
      </c>
      <c r="B4" s="123" t="s">
        <v>117</v>
      </c>
      <c r="C4" s="123" t="s">
        <v>117</v>
      </c>
      <c r="D4" s="123" t="s">
        <v>36</v>
      </c>
      <c r="E4" s="123" t="s">
        <v>19</v>
      </c>
      <c r="F4" s="122">
        <v>2.5</v>
      </c>
      <c r="G4" s="122">
        <v>7.86</v>
      </c>
      <c r="H4" s="123" t="s">
        <v>117</v>
      </c>
      <c r="I4" s="123" t="s">
        <v>117</v>
      </c>
      <c r="J4" s="124" t="s">
        <v>117</v>
      </c>
      <c r="K4" s="123" t="s">
        <v>117</v>
      </c>
      <c r="L4" s="123" t="s">
        <v>117</v>
      </c>
      <c r="M4" s="17" t="s">
        <v>2</v>
      </c>
      <c r="N4" s="17" t="s">
        <v>4</v>
      </c>
      <c r="O4" s="17" t="s">
        <v>4</v>
      </c>
      <c r="P4" s="155">
        <v>17.384</v>
      </c>
      <c r="Q4" s="155">
        <v>17.37</v>
      </c>
      <c r="R4" s="156" t="s">
        <v>117</v>
      </c>
      <c r="S4" s="157" t="s">
        <v>117</v>
      </c>
      <c r="T4" s="109">
        <f>P4-Q4</f>
        <v>1.3999999999999346E-2</v>
      </c>
      <c r="U4" s="109"/>
      <c r="V4" s="9" t="s">
        <v>117</v>
      </c>
      <c r="W4" s="9" t="s">
        <v>117</v>
      </c>
      <c r="X4" s="104" t="s">
        <v>117</v>
      </c>
      <c r="Y4" s="158" t="s">
        <v>117</v>
      </c>
      <c r="Z4" s="158" t="s">
        <v>117</v>
      </c>
      <c r="AA4" s="158" t="s">
        <v>117</v>
      </c>
    </row>
    <row r="5" spans="1:27" x14ac:dyDescent="0.25">
      <c r="A5" s="122">
        <v>2</v>
      </c>
      <c r="B5" s="123" t="s">
        <v>117</v>
      </c>
      <c r="C5" s="123" t="s">
        <v>117</v>
      </c>
      <c r="D5" s="123" t="s">
        <v>89</v>
      </c>
      <c r="E5" s="123" t="s">
        <v>19</v>
      </c>
      <c r="F5" s="122">
        <v>5.2</v>
      </c>
      <c r="G5" s="122">
        <v>7.86</v>
      </c>
      <c r="H5" s="123" t="s">
        <v>117</v>
      </c>
      <c r="I5" s="123" t="s">
        <v>117</v>
      </c>
      <c r="J5" s="124" t="s">
        <v>117</v>
      </c>
      <c r="K5" s="123" t="s">
        <v>117</v>
      </c>
      <c r="L5" s="123" t="s">
        <v>117</v>
      </c>
      <c r="M5" s="17" t="s">
        <v>2</v>
      </c>
      <c r="N5" s="17" t="s">
        <v>4</v>
      </c>
      <c r="O5" s="17" t="s">
        <v>4</v>
      </c>
      <c r="P5" s="125">
        <v>36.786999999999999</v>
      </c>
      <c r="Q5" s="125">
        <v>36.777000000000001</v>
      </c>
      <c r="R5" s="124" t="s">
        <v>117</v>
      </c>
      <c r="S5" s="126" t="s">
        <v>117</v>
      </c>
      <c r="T5" s="107">
        <f t="shared" ref="T5:T6" si="0">P5-Q5</f>
        <v>9.9999999999980105E-3</v>
      </c>
      <c r="U5" s="107"/>
      <c r="V5" s="22" t="s">
        <v>117</v>
      </c>
      <c r="W5" s="22" t="s">
        <v>117</v>
      </c>
      <c r="X5" s="72" t="s">
        <v>117</v>
      </c>
      <c r="Y5" s="159" t="s">
        <v>117</v>
      </c>
      <c r="Z5" s="159" t="s">
        <v>117</v>
      </c>
      <c r="AA5" s="159" t="s">
        <v>117</v>
      </c>
    </row>
    <row r="6" spans="1:27" ht="28.2" thickBot="1" x14ac:dyDescent="0.3">
      <c r="A6" s="127">
        <v>3</v>
      </c>
      <c r="B6" s="128" t="s">
        <v>117</v>
      </c>
      <c r="C6" s="128" t="s">
        <v>117</v>
      </c>
      <c r="D6" s="128" t="s">
        <v>46</v>
      </c>
      <c r="E6" s="128" t="s">
        <v>19</v>
      </c>
      <c r="F6" s="127">
        <v>3.4</v>
      </c>
      <c r="G6" s="127">
        <v>7.86</v>
      </c>
      <c r="H6" s="128" t="s">
        <v>117</v>
      </c>
      <c r="I6" s="128" t="s">
        <v>117</v>
      </c>
      <c r="J6" s="129" t="s">
        <v>117</v>
      </c>
      <c r="K6" s="128" t="s">
        <v>117</v>
      </c>
      <c r="L6" s="128" t="s">
        <v>117</v>
      </c>
      <c r="M6" s="42" t="s">
        <v>2</v>
      </c>
      <c r="N6" s="42" t="s">
        <v>4</v>
      </c>
      <c r="O6" s="42" t="s">
        <v>4</v>
      </c>
      <c r="P6" s="130">
        <v>24.774999999999999</v>
      </c>
      <c r="Q6" s="130">
        <v>24.763999999999999</v>
      </c>
      <c r="R6" s="129" t="s">
        <v>117</v>
      </c>
      <c r="S6" s="131" t="s">
        <v>117</v>
      </c>
      <c r="T6" s="108">
        <f t="shared" si="0"/>
        <v>1.0999999999999233E-2</v>
      </c>
      <c r="U6" s="108"/>
      <c r="V6" s="22" t="s">
        <v>117</v>
      </c>
      <c r="W6" s="76" t="s">
        <v>117</v>
      </c>
      <c r="X6" s="105" t="s">
        <v>117</v>
      </c>
      <c r="Y6" s="160" t="s">
        <v>117</v>
      </c>
      <c r="Z6" s="160" t="s">
        <v>117</v>
      </c>
      <c r="AA6" s="160" t="s">
        <v>117</v>
      </c>
    </row>
    <row r="7" spans="1:27" ht="14.4" customHeight="1" thickBot="1" x14ac:dyDescent="0.3">
      <c r="A7" s="619" t="s">
        <v>307</v>
      </c>
      <c r="B7" s="620"/>
      <c r="C7" s="620"/>
      <c r="D7" s="620"/>
      <c r="E7" s="620"/>
      <c r="F7" s="620"/>
      <c r="G7" s="620"/>
      <c r="H7" s="620"/>
      <c r="I7" s="620"/>
      <c r="J7" s="620"/>
      <c r="K7" s="620"/>
      <c r="L7" s="620"/>
      <c r="M7" s="620"/>
      <c r="N7" s="620"/>
      <c r="O7" s="620"/>
      <c r="P7" s="620"/>
      <c r="Q7" s="620"/>
      <c r="R7" s="620"/>
      <c r="S7" s="620"/>
      <c r="T7" s="620"/>
      <c r="U7" s="620"/>
      <c r="V7" s="620"/>
      <c r="W7" s="620"/>
      <c r="X7" s="620"/>
      <c r="Y7" s="620"/>
      <c r="Z7" s="620"/>
      <c r="AA7" s="621"/>
    </row>
    <row r="8" spans="1:27" ht="14.4" thickBot="1" x14ac:dyDescent="0.3">
      <c r="A8" s="603" t="s">
        <v>308</v>
      </c>
      <c r="B8" s="604"/>
      <c r="C8" s="604"/>
      <c r="D8" s="604"/>
      <c r="E8" s="604"/>
      <c r="F8" s="604"/>
      <c r="G8" s="604"/>
      <c r="H8" s="604"/>
      <c r="I8" s="604"/>
      <c r="J8" s="604"/>
      <c r="K8" s="604"/>
      <c r="L8" s="604"/>
      <c r="M8" s="604"/>
      <c r="N8" s="604"/>
      <c r="O8" s="604"/>
      <c r="P8" s="604"/>
      <c r="Q8" s="604"/>
      <c r="R8" s="604"/>
      <c r="S8" s="604"/>
      <c r="T8" s="604"/>
      <c r="U8" s="604"/>
      <c r="V8" s="604"/>
      <c r="W8" s="604"/>
      <c r="X8" s="604"/>
      <c r="Y8" s="604"/>
      <c r="Z8" s="604"/>
      <c r="AA8" s="605"/>
    </row>
    <row r="9" spans="1:27" ht="13.8" customHeight="1" x14ac:dyDescent="0.25">
      <c r="A9" s="652">
        <v>1</v>
      </c>
      <c r="B9" s="652" t="s">
        <v>309</v>
      </c>
      <c r="C9" s="650" t="s">
        <v>310</v>
      </c>
      <c r="D9" s="606" t="s">
        <v>89</v>
      </c>
      <c r="E9" s="606" t="s">
        <v>19</v>
      </c>
      <c r="F9" s="144">
        <v>5.2</v>
      </c>
      <c r="G9" s="145">
        <v>7.86</v>
      </c>
      <c r="H9" s="606" t="s">
        <v>188</v>
      </c>
      <c r="I9" s="606" t="s">
        <v>14</v>
      </c>
      <c r="J9" s="146">
        <v>44963</v>
      </c>
      <c r="K9" s="134" t="s">
        <v>311</v>
      </c>
      <c r="L9" s="135">
        <v>36.808599999999998</v>
      </c>
      <c r="M9" s="67" t="s">
        <v>2</v>
      </c>
      <c r="N9" s="67" t="s">
        <v>4</v>
      </c>
      <c r="O9" s="67" t="s">
        <v>4</v>
      </c>
      <c r="P9" s="77">
        <v>36.847000000000001</v>
      </c>
      <c r="Q9" s="77">
        <v>36.701000000000001</v>
      </c>
      <c r="R9" s="116">
        <v>45901</v>
      </c>
      <c r="S9" s="9">
        <f>R9-J9</f>
        <v>938</v>
      </c>
      <c r="T9" s="109">
        <f>L9-Q9</f>
        <v>0.10759999999999792</v>
      </c>
      <c r="U9" s="109">
        <f>T9-0.01</f>
        <v>9.7599999999997925E-2</v>
      </c>
      <c r="V9" s="9">
        <f>(U9*22270)/(S9*G9*F9)</f>
        <v>5.6694549231861457E-2</v>
      </c>
      <c r="W9" s="9" t="s">
        <v>117</v>
      </c>
      <c r="X9" s="9"/>
      <c r="Y9" s="9"/>
      <c r="Z9" s="9"/>
      <c r="AA9" s="9"/>
    </row>
    <row r="10" spans="1:27" ht="13.8" customHeight="1" thickBot="1" x14ac:dyDescent="0.3">
      <c r="A10" s="653"/>
      <c r="B10" s="653"/>
      <c r="C10" s="654"/>
      <c r="D10" s="645"/>
      <c r="E10" s="645"/>
      <c r="F10" s="161">
        <v>5.2</v>
      </c>
      <c r="G10" s="162">
        <v>7.86</v>
      </c>
      <c r="H10" s="645"/>
      <c r="I10" s="645"/>
      <c r="J10" s="163">
        <v>44963</v>
      </c>
      <c r="K10" s="140" t="s">
        <v>312</v>
      </c>
      <c r="L10" s="142">
        <v>36.923699999999997</v>
      </c>
      <c r="M10" s="42" t="s">
        <v>2</v>
      </c>
      <c r="N10" s="42" t="s">
        <v>4</v>
      </c>
      <c r="O10" s="42" t="s">
        <v>4</v>
      </c>
      <c r="P10" s="74">
        <v>36.902000000000001</v>
      </c>
      <c r="Q10" s="74">
        <v>36.686999999999998</v>
      </c>
      <c r="R10" s="164">
        <v>45901</v>
      </c>
      <c r="S10" s="76">
        <f t="shared" ref="S10" si="1">R10-J10</f>
        <v>938</v>
      </c>
      <c r="T10" s="108">
        <f t="shared" ref="T10" si="2">L10-Q10</f>
        <v>0.23669999999999902</v>
      </c>
      <c r="U10" s="108">
        <f t="shared" ref="U10" si="3">T10-0.01</f>
        <v>0.22669999999999901</v>
      </c>
      <c r="V10" s="76">
        <f t="shared" ref="V10" si="4">(U10*22270)/(S10*G10*F10)</f>
        <v>0.13168703187359845</v>
      </c>
      <c r="W10" s="76" t="s">
        <v>117</v>
      </c>
      <c r="X10" s="76"/>
      <c r="Y10" s="76"/>
      <c r="Z10" s="76"/>
      <c r="AA10" s="76"/>
    </row>
    <row r="11" spans="1:27" ht="14.4" thickBot="1" x14ac:dyDescent="0.3">
      <c r="A11" s="603" t="s">
        <v>313</v>
      </c>
      <c r="B11" s="604"/>
      <c r="C11" s="604"/>
      <c r="D11" s="604"/>
      <c r="E11" s="604"/>
      <c r="F11" s="604"/>
      <c r="G11" s="604"/>
      <c r="H11" s="604"/>
      <c r="I11" s="604"/>
      <c r="J11" s="604"/>
      <c r="K11" s="604"/>
      <c r="L11" s="604"/>
      <c r="M11" s="604"/>
      <c r="N11" s="604"/>
      <c r="O11" s="604"/>
      <c r="P11" s="604"/>
      <c r="Q11" s="604"/>
      <c r="R11" s="604"/>
      <c r="S11" s="604"/>
      <c r="T11" s="604"/>
      <c r="U11" s="604"/>
      <c r="V11" s="604"/>
      <c r="W11" s="604"/>
      <c r="X11" s="604"/>
      <c r="Y11" s="604"/>
      <c r="Z11" s="604"/>
      <c r="AA11" s="605"/>
    </row>
    <row r="12" spans="1:27" ht="13.2" customHeight="1" x14ac:dyDescent="0.25">
      <c r="A12" s="646">
        <v>2</v>
      </c>
      <c r="B12" s="648" t="s">
        <v>314</v>
      </c>
      <c r="C12" s="650" t="s">
        <v>315</v>
      </c>
      <c r="D12" s="606" t="s">
        <v>89</v>
      </c>
      <c r="E12" s="606" t="s">
        <v>19</v>
      </c>
      <c r="F12" s="144">
        <v>5.2</v>
      </c>
      <c r="G12" s="145">
        <v>7.86</v>
      </c>
      <c r="H12" s="606" t="s">
        <v>316</v>
      </c>
      <c r="I12" s="606" t="s">
        <v>317</v>
      </c>
      <c r="J12" s="146">
        <v>44964</v>
      </c>
      <c r="K12" s="134" t="s">
        <v>318</v>
      </c>
      <c r="L12" s="135">
        <v>36.991700000000002</v>
      </c>
      <c r="M12" s="67" t="s">
        <v>2</v>
      </c>
      <c r="N12" s="67" t="s">
        <v>4</v>
      </c>
      <c r="O12" s="67" t="s">
        <v>4</v>
      </c>
      <c r="P12" s="77">
        <v>37.006999999999998</v>
      </c>
      <c r="Q12" s="77">
        <v>36.942999999999998</v>
      </c>
      <c r="R12" s="116">
        <v>45902</v>
      </c>
      <c r="S12" s="9">
        <f>R12-J12</f>
        <v>938</v>
      </c>
      <c r="T12" s="109">
        <f>L12-Q12</f>
        <v>4.870000000000374E-2</v>
      </c>
      <c r="U12" s="109">
        <f>T12-0.01</f>
        <v>3.8700000000003738E-2</v>
      </c>
      <c r="V12" s="9">
        <f>(U12*22270)/(S12*G12*F12)</f>
        <v>2.2480318189275584E-2</v>
      </c>
      <c r="W12" s="9" t="s">
        <v>117</v>
      </c>
      <c r="X12" s="9"/>
      <c r="Y12" s="9"/>
      <c r="Z12" s="9"/>
      <c r="AA12" s="9"/>
    </row>
    <row r="13" spans="1:27" ht="13.2" customHeight="1" thickBot="1" x14ac:dyDescent="0.3">
      <c r="A13" s="647"/>
      <c r="B13" s="649"/>
      <c r="C13" s="651"/>
      <c r="D13" s="607"/>
      <c r="E13" s="607"/>
      <c r="F13" s="148">
        <v>5.2</v>
      </c>
      <c r="G13" s="149">
        <v>7.86</v>
      </c>
      <c r="H13" s="607"/>
      <c r="I13" s="607"/>
      <c r="J13" s="138">
        <v>44964</v>
      </c>
      <c r="K13" s="136" t="s">
        <v>319</v>
      </c>
      <c r="L13" s="137">
        <v>36.9756</v>
      </c>
      <c r="M13" s="17" t="s">
        <v>2</v>
      </c>
      <c r="N13" s="17" t="s">
        <v>4</v>
      </c>
      <c r="O13" s="17" t="s">
        <v>4</v>
      </c>
      <c r="P13" s="70">
        <v>36.997</v>
      </c>
      <c r="Q13" s="70">
        <v>36.929000000000002</v>
      </c>
      <c r="R13" s="117">
        <v>45902</v>
      </c>
      <c r="S13" s="22">
        <f t="shared" ref="S13:S21" si="5">R13-J13</f>
        <v>938</v>
      </c>
      <c r="T13" s="107">
        <f t="shared" ref="T13:T21" si="6">L13-Q13</f>
        <v>4.6599999999997976E-2</v>
      </c>
      <c r="U13" s="107">
        <f t="shared" ref="U13:U21" si="7">T13-0.01</f>
        <v>3.6599999999997974E-2</v>
      </c>
      <c r="V13" s="22">
        <f t="shared" ref="V13:V21" si="8">(U13*22270)/(S13*G13*F13)</f>
        <v>2.1260455961947321E-2</v>
      </c>
      <c r="W13" s="22" t="s">
        <v>117</v>
      </c>
      <c r="X13" s="22"/>
      <c r="Y13" s="22"/>
      <c r="Z13" s="601"/>
      <c r="AA13" s="602"/>
    </row>
    <row r="14" spans="1:27" ht="13.2" customHeight="1" x14ac:dyDescent="0.25">
      <c r="A14" s="652">
        <v>3</v>
      </c>
      <c r="B14" s="655" t="s">
        <v>320</v>
      </c>
      <c r="C14" s="651" t="s">
        <v>315</v>
      </c>
      <c r="D14" s="607" t="s">
        <v>89</v>
      </c>
      <c r="E14" s="607" t="s">
        <v>19</v>
      </c>
      <c r="F14" s="148">
        <v>5.2</v>
      </c>
      <c r="G14" s="149">
        <v>7.86</v>
      </c>
      <c r="H14" s="607" t="s">
        <v>149</v>
      </c>
      <c r="I14" s="607" t="s">
        <v>317</v>
      </c>
      <c r="J14" s="138">
        <v>44964</v>
      </c>
      <c r="K14" s="136" t="s">
        <v>321</v>
      </c>
      <c r="L14" s="137">
        <v>36.7879</v>
      </c>
      <c r="M14" s="67" t="s">
        <v>2</v>
      </c>
      <c r="N14" s="67" t="s">
        <v>4</v>
      </c>
      <c r="O14" s="67" t="s">
        <v>4</v>
      </c>
      <c r="P14" s="70">
        <v>36.835000000000001</v>
      </c>
      <c r="Q14" s="70">
        <v>36.726999999999997</v>
      </c>
      <c r="R14" s="117">
        <v>45902</v>
      </c>
      <c r="S14" s="22">
        <f t="shared" si="5"/>
        <v>938</v>
      </c>
      <c r="T14" s="107">
        <f t="shared" si="6"/>
        <v>6.0900000000003729E-2</v>
      </c>
      <c r="U14" s="107">
        <f t="shared" si="7"/>
        <v>5.0900000000003727E-2</v>
      </c>
      <c r="V14" s="22">
        <f t="shared" si="8"/>
        <v>2.9567136843258412E-2</v>
      </c>
      <c r="W14" s="22" t="s">
        <v>117</v>
      </c>
      <c r="X14" s="22"/>
      <c r="Y14" s="22"/>
      <c r="Z14" s="601"/>
      <c r="AA14" s="602"/>
    </row>
    <row r="15" spans="1:27" ht="13.2" customHeight="1" x14ac:dyDescent="0.25">
      <c r="A15" s="655"/>
      <c r="B15" s="655"/>
      <c r="C15" s="651"/>
      <c r="D15" s="607"/>
      <c r="E15" s="607"/>
      <c r="F15" s="148">
        <v>5.2</v>
      </c>
      <c r="G15" s="149">
        <v>7.86</v>
      </c>
      <c r="H15" s="607"/>
      <c r="I15" s="607"/>
      <c r="J15" s="138">
        <v>44964</v>
      </c>
      <c r="K15" s="136" t="s">
        <v>322</v>
      </c>
      <c r="L15" s="137">
        <v>36.978700000000003</v>
      </c>
      <c r="M15" s="17" t="s">
        <v>2</v>
      </c>
      <c r="N15" s="17" t="s">
        <v>4</v>
      </c>
      <c r="O15" s="17" t="s">
        <v>4</v>
      </c>
      <c r="P15" s="74">
        <v>37.024999999999999</v>
      </c>
      <c r="Q15" s="74">
        <v>36.912999999999997</v>
      </c>
      <c r="R15" s="117">
        <v>45902</v>
      </c>
      <c r="S15" s="22">
        <f t="shared" si="5"/>
        <v>938</v>
      </c>
      <c r="T15" s="107">
        <f t="shared" si="6"/>
        <v>6.5700000000006753E-2</v>
      </c>
      <c r="U15" s="107">
        <f t="shared" si="7"/>
        <v>5.5700000000006751E-2</v>
      </c>
      <c r="V15" s="22">
        <f t="shared" si="8"/>
        <v>3.2355393362859967E-2</v>
      </c>
      <c r="W15" s="22" t="s">
        <v>117</v>
      </c>
      <c r="X15" s="22"/>
      <c r="Y15" s="22"/>
      <c r="Z15" s="601"/>
      <c r="AA15" s="602"/>
    </row>
    <row r="16" spans="1:27" ht="13.2" customHeight="1" x14ac:dyDescent="0.25">
      <c r="A16" s="655">
        <v>4</v>
      </c>
      <c r="B16" s="655" t="s">
        <v>323</v>
      </c>
      <c r="C16" s="651" t="s">
        <v>324</v>
      </c>
      <c r="D16" s="607" t="s">
        <v>89</v>
      </c>
      <c r="E16" s="607" t="s">
        <v>19</v>
      </c>
      <c r="F16" s="148">
        <v>5.2</v>
      </c>
      <c r="G16" s="149">
        <v>7.86</v>
      </c>
      <c r="H16" s="607" t="s">
        <v>325</v>
      </c>
      <c r="I16" s="607" t="s">
        <v>317</v>
      </c>
      <c r="J16" s="138">
        <v>44964</v>
      </c>
      <c r="K16" s="136" t="s">
        <v>326</v>
      </c>
      <c r="L16" s="137">
        <v>36.6738</v>
      </c>
      <c r="M16" s="67" t="s">
        <v>2</v>
      </c>
      <c r="N16" s="67" t="s">
        <v>4</v>
      </c>
      <c r="O16" s="67" t="s">
        <v>4</v>
      </c>
      <c r="P16" s="70">
        <v>36.691000000000003</v>
      </c>
      <c r="Q16" s="70">
        <v>36.549599999999998</v>
      </c>
      <c r="R16" s="117">
        <v>45902</v>
      </c>
      <c r="S16" s="22">
        <f t="shared" si="5"/>
        <v>938</v>
      </c>
      <c r="T16" s="107">
        <f t="shared" si="6"/>
        <v>0.12420000000000186</v>
      </c>
      <c r="U16" s="107">
        <f t="shared" si="7"/>
        <v>0.11420000000000187</v>
      </c>
      <c r="V16" s="22">
        <f t="shared" si="8"/>
        <v>6.6337269695479734E-2</v>
      </c>
      <c r="W16" s="22" t="s">
        <v>466</v>
      </c>
      <c r="X16" s="22">
        <v>0.01</v>
      </c>
      <c r="Y16" s="22">
        <f>((X16*365)/S16)*39.4</f>
        <v>0.15331556503198293</v>
      </c>
      <c r="Z16" s="612" t="s">
        <v>471</v>
      </c>
      <c r="AA16" s="612"/>
    </row>
    <row r="17" spans="1:27" ht="13.2" customHeight="1" x14ac:dyDescent="0.25">
      <c r="A17" s="655"/>
      <c r="B17" s="655"/>
      <c r="C17" s="651"/>
      <c r="D17" s="607"/>
      <c r="E17" s="607"/>
      <c r="F17" s="148">
        <v>5.2</v>
      </c>
      <c r="G17" s="149">
        <v>7.86</v>
      </c>
      <c r="H17" s="607"/>
      <c r="I17" s="607"/>
      <c r="J17" s="138">
        <v>44964</v>
      </c>
      <c r="K17" s="136" t="s">
        <v>327</v>
      </c>
      <c r="L17" s="137">
        <v>36.822899999999997</v>
      </c>
      <c r="M17" s="17" t="s">
        <v>2</v>
      </c>
      <c r="N17" s="17" t="s">
        <v>4</v>
      </c>
      <c r="O17" s="17" t="s">
        <v>4</v>
      </c>
      <c r="P17" s="74">
        <v>36.914000000000001</v>
      </c>
      <c r="Q17" s="74">
        <v>36.591000000000001</v>
      </c>
      <c r="R17" s="117">
        <v>45902</v>
      </c>
      <c r="S17" s="22">
        <f t="shared" si="5"/>
        <v>938</v>
      </c>
      <c r="T17" s="107">
        <f t="shared" si="6"/>
        <v>0.231899999999996</v>
      </c>
      <c r="U17" s="107">
        <f t="shared" si="7"/>
        <v>0.22189999999999599</v>
      </c>
      <c r="V17" s="22">
        <f t="shared" si="8"/>
        <v>0.12889877535399691</v>
      </c>
      <c r="W17" s="22" t="s">
        <v>466</v>
      </c>
      <c r="X17" s="22">
        <v>0.14000000000000001</v>
      </c>
      <c r="Y17" s="22">
        <f>((X17*365)/S17)*39.4</f>
        <v>2.1464179104477612</v>
      </c>
      <c r="Z17" s="612" t="s">
        <v>471</v>
      </c>
      <c r="AA17" s="612"/>
    </row>
    <row r="18" spans="1:27" ht="13.2" customHeight="1" x14ac:dyDescent="0.25">
      <c r="A18" s="655">
        <v>5</v>
      </c>
      <c r="B18" s="655" t="s">
        <v>328</v>
      </c>
      <c r="C18" s="651" t="s">
        <v>315</v>
      </c>
      <c r="D18" s="607" t="s">
        <v>89</v>
      </c>
      <c r="E18" s="607" t="s">
        <v>19</v>
      </c>
      <c r="F18" s="148">
        <v>5.2</v>
      </c>
      <c r="G18" s="149">
        <v>7.86</v>
      </c>
      <c r="H18" s="607" t="s">
        <v>245</v>
      </c>
      <c r="I18" s="607" t="s">
        <v>317</v>
      </c>
      <c r="J18" s="138">
        <v>44964</v>
      </c>
      <c r="K18" s="136" t="s">
        <v>329</v>
      </c>
      <c r="L18" s="137">
        <v>36.707000000000001</v>
      </c>
      <c r="M18" s="67" t="s">
        <v>2</v>
      </c>
      <c r="N18" s="67" t="s">
        <v>4</v>
      </c>
      <c r="O18" s="67" t="s">
        <v>4</v>
      </c>
      <c r="P18" s="70">
        <v>36.802</v>
      </c>
      <c r="Q18" s="70">
        <v>35.762</v>
      </c>
      <c r="R18" s="117">
        <v>45902</v>
      </c>
      <c r="S18" s="22">
        <f t="shared" si="5"/>
        <v>938</v>
      </c>
      <c r="T18" s="107">
        <f t="shared" si="6"/>
        <v>0.94500000000000028</v>
      </c>
      <c r="U18" s="107">
        <f t="shared" si="7"/>
        <v>0.93500000000000028</v>
      </c>
      <c r="V18" s="22">
        <f t="shared" si="8"/>
        <v>0.54312913454704503</v>
      </c>
      <c r="W18" s="22" t="s">
        <v>117</v>
      </c>
      <c r="X18" s="22"/>
      <c r="Y18" s="22"/>
      <c r="Z18" s="601"/>
      <c r="AA18" s="602"/>
    </row>
    <row r="19" spans="1:27" ht="13.2" customHeight="1" x14ac:dyDescent="0.25">
      <c r="A19" s="655"/>
      <c r="B19" s="655"/>
      <c r="C19" s="651"/>
      <c r="D19" s="607"/>
      <c r="E19" s="607"/>
      <c r="F19" s="148">
        <v>5.2</v>
      </c>
      <c r="G19" s="149">
        <v>7.86</v>
      </c>
      <c r="H19" s="607"/>
      <c r="I19" s="607"/>
      <c r="J19" s="138">
        <v>44964</v>
      </c>
      <c r="K19" s="136" t="s">
        <v>330</v>
      </c>
      <c r="L19" s="137">
        <v>36.769500000000001</v>
      </c>
      <c r="M19" s="17" t="s">
        <v>2</v>
      </c>
      <c r="N19" s="17" t="s">
        <v>4</v>
      </c>
      <c r="O19" s="17" t="s">
        <v>4</v>
      </c>
      <c r="P19" s="74">
        <v>36.256</v>
      </c>
      <c r="Q19" s="74">
        <v>36.297600000000003</v>
      </c>
      <c r="R19" s="117">
        <v>45902</v>
      </c>
      <c r="S19" s="22">
        <f t="shared" si="5"/>
        <v>938</v>
      </c>
      <c r="T19" s="107">
        <f t="shared" si="6"/>
        <v>0.47189999999999799</v>
      </c>
      <c r="U19" s="107">
        <f t="shared" si="7"/>
        <v>0.46189999999999798</v>
      </c>
      <c r="V19" s="22">
        <f t="shared" si="8"/>
        <v>0.26831160133398824</v>
      </c>
      <c r="W19" s="22" t="s">
        <v>466</v>
      </c>
      <c r="X19" s="22">
        <v>0.04</v>
      </c>
      <c r="Y19" s="22">
        <f>((X19*365)/S19)*39.4</f>
        <v>0.61326226012793172</v>
      </c>
      <c r="Z19" s="612" t="s">
        <v>471</v>
      </c>
      <c r="AA19" s="612"/>
    </row>
    <row r="20" spans="1:27" ht="13.2" customHeight="1" x14ac:dyDescent="0.25">
      <c r="A20" s="655">
        <v>6</v>
      </c>
      <c r="B20" s="655" t="s">
        <v>331</v>
      </c>
      <c r="C20" s="651" t="s">
        <v>315</v>
      </c>
      <c r="D20" s="607" t="s">
        <v>89</v>
      </c>
      <c r="E20" s="607" t="s">
        <v>19</v>
      </c>
      <c r="F20" s="148">
        <v>5.2</v>
      </c>
      <c r="G20" s="149">
        <v>7.86</v>
      </c>
      <c r="H20" s="607" t="s">
        <v>219</v>
      </c>
      <c r="I20" s="607" t="s">
        <v>317</v>
      </c>
      <c r="J20" s="138">
        <v>44964</v>
      </c>
      <c r="K20" s="136" t="s">
        <v>332</v>
      </c>
      <c r="L20" s="137">
        <v>36.833300000000001</v>
      </c>
      <c r="M20" s="67" t="s">
        <v>2</v>
      </c>
      <c r="N20" s="67" t="s">
        <v>4</v>
      </c>
      <c r="O20" s="67" t="s">
        <v>4</v>
      </c>
      <c r="P20" s="70">
        <v>36.893000000000001</v>
      </c>
      <c r="Q20" s="70">
        <v>36.750999999999998</v>
      </c>
      <c r="R20" s="117">
        <v>45902</v>
      </c>
      <c r="S20" s="22">
        <f t="shared" si="5"/>
        <v>938</v>
      </c>
      <c r="T20" s="107">
        <f t="shared" si="6"/>
        <v>8.2300000000003593E-2</v>
      </c>
      <c r="U20" s="107">
        <f t="shared" si="7"/>
        <v>7.2300000000003598E-2</v>
      </c>
      <c r="V20" s="22">
        <f t="shared" si="8"/>
        <v>4.1998113826474122E-2</v>
      </c>
      <c r="W20" s="22" t="s">
        <v>117</v>
      </c>
      <c r="X20" s="22"/>
      <c r="Y20" s="22"/>
      <c r="Z20" s="601"/>
      <c r="AA20" s="602"/>
    </row>
    <row r="21" spans="1:27" ht="13.8" customHeight="1" thickBot="1" x14ac:dyDescent="0.3">
      <c r="A21" s="653"/>
      <c r="B21" s="653"/>
      <c r="C21" s="654"/>
      <c r="D21" s="645"/>
      <c r="E21" s="645"/>
      <c r="F21" s="150">
        <v>5.2</v>
      </c>
      <c r="G21" s="151">
        <v>7.86</v>
      </c>
      <c r="H21" s="645"/>
      <c r="I21" s="645"/>
      <c r="J21" s="141">
        <v>44964</v>
      </c>
      <c r="K21" s="140" t="s">
        <v>333</v>
      </c>
      <c r="L21" s="142">
        <v>37.061</v>
      </c>
      <c r="M21" s="42" t="s">
        <v>2</v>
      </c>
      <c r="N21" s="42" t="s">
        <v>4</v>
      </c>
      <c r="O21" s="42" t="s">
        <v>4</v>
      </c>
      <c r="P21" s="74">
        <v>37.127000000000002</v>
      </c>
      <c r="Q21" s="74">
        <v>36.972000000000001</v>
      </c>
      <c r="R21" s="118">
        <v>45902</v>
      </c>
      <c r="S21" s="76">
        <f t="shared" si="5"/>
        <v>938</v>
      </c>
      <c r="T21" s="108">
        <f t="shared" si="6"/>
        <v>8.8999999999998636E-2</v>
      </c>
      <c r="U21" s="108">
        <f t="shared" si="7"/>
        <v>7.8999999999998641E-2</v>
      </c>
      <c r="V21" s="76">
        <f t="shared" si="8"/>
        <v>4.5890055218412634E-2</v>
      </c>
      <c r="W21" s="76" t="s">
        <v>117</v>
      </c>
      <c r="X21" s="76"/>
      <c r="Y21" s="76"/>
      <c r="Z21" s="601"/>
      <c r="AA21" s="602"/>
    </row>
    <row r="22" spans="1:27" ht="14.4" thickBot="1" x14ac:dyDescent="0.3">
      <c r="A22" s="603" t="s">
        <v>334</v>
      </c>
      <c r="B22" s="604"/>
      <c r="C22" s="604"/>
      <c r="D22" s="604"/>
      <c r="E22" s="604"/>
      <c r="F22" s="604"/>
      <c r="G22" s="604"/>
      <c r="H22" s="604"/>
      <c r="I22" s="604"/>
      <c r="J22" s="604"/>
      <c r="K22" s="604"/>
      <c r="L22" s="604"/>
      <c r="M22" s="604"/>
      <c r="N22" s="604"/>
      <c r="O22" s="604"/>
      <c r="P22" s="604"/>
      <c r="Q22" s="604"/>
      <c r="R22" s="604"/>
      <c r="S22" s="604"/>
      <c r="T22" s="604"/>
      <c r="U22" s="604"/>
      <c r="V22" s="604"/>
      <c r="W22" s="604"/>
      <c r="X22" s="604"/>
      <c r="Y22" s="604"/>
      <c r="Z22" s="604"/>
      <c r="AA22" s="605"/>
    </row>
    <row r="23" spans="1:27" ht="13.2" customHeight="1" x14ac:dyDescent="0.25">
      <c r="A23" s="652">
        <v>7</v>
      </c>
      <c r="B23" s="652" t="s">
        <v>335</v>
      </c>
      <c r="C23" s="650" t="s">
        <v>310</v>
      </c>
      <c r="D23" s="606" t="s">
        <v>89</v>
      </c>
      <c r="E23" s="606" t="s">
        <v>19</v>
      </c>
      <c r="F23" s="144">
        <v>5.2</v>
      </c>
      <c r="G23" s="145">
        <v>7.86</v>
      </c>
      <c r="H23" s="606" t="s">
        <v>336</v>
      </c>
      <c r="I23" s="606" t="s">
        <v>14</v>
      </c>
      <c r="J23" s="146">
        <v>44963</v>
      </c>
      <c r="K23" s="134" t="s">
        <v>337</v>
      </c>
      <c r="L23" s="135">
        <v>36.957999999999998</v>
      </c>
      <c r="M23" s="67" t="s">
        <v>2</v>
      </c>
      <c r="N23" s="67" t="s">
        <v>4</v>
      </c>
      <c r="O23" s="67" t="s">
        <v>4</v>
      </c>
      <c r="P23" s="77">
        <v>37.137999999999998</v>
      </c>
      <c r="Q23" s="77">
        <v>36.820999999999998</v>
      </c>
      <c r="R23" s="116">
        <v>45901</v>
      </c>
      <c r="S23" s="9">
        <f>R23-J23</f>
        <v>938</v>
      </c>
      <c r="T23" s="109">
        <f>L23-Q23</f>
        <v>0.13700000000000045</v>
      </c>
      <c r="U23" s="109">
        <f>T23-0.01</f>
        <v>0.12700000000000045</v>
      </c>
      <c r="V23" s="9">
        <f>(U23*22270)/(S23*G23*F23)</f>
        <v>7.377262041441171E-2</v>
      </c>
      <c r="W23" s="9" t="s">
        <v>117</v>
      </c>
      <c r="X23" s="9"/>
      <c r="Y23" s="9"/>
      <c r="Z23" s="601"/>
      <c r="AA23" s="602"/>
    </row>
    <row r="24" spans="1:27" ht="13.8" customHeight="1" thickBot="1" x14ac:dyDescent="0.3">
      <c r="A24" s="653"/>
      <c r="B24" s="653"/>
      <c r="C24" s="654"/>
      <c r="D24" s="645"/>
      <c r="E24" s="645"/>
      <c r="F24" s="161">
        <v>5.2</v>
      </c>
      <c r="G24" s="162">
        <v>7.86</v>
      </c>
      <c r="H24" s="645"/>
      <c r="I24" s="645"/>
      <c r="J24" s="163">
        <v>44963</v>
      </c>
      <c r="K24" s="140" t="s">
        <v>338</v>
      </c>
      <c r="L24" s="142">
        <v>37.049500000000002</v>
      </c>
      <c r="M24" s="42" t="s">
        <v>2</v>
      </c>
      <c r="N24" s="42" t="s">
        <v>4</v>
      </c>
      <c r="O24" s="42" t="s">
        <v>4</v>
      </c>
      <c r="P24" s="74">
        <v>37.055</v>
      </c>
      <c r="Q24" s="74">
        <v>36.914000000000001</v>
      </c>
      <c r="R24" s="164">
        <v>45901</v>
      </c>
      <c r="S24" s="76">
        <f>R24-J24</f>
        <v>938</v>
      </c>
      <c r="T24" s="108">
        <f>L24-Q24</f>
        <v>0.1355000000000004</v>
      </c>
      <c r="U24" s="108">
        <f>T24-0.01</f>
        <v>0.12550000000000039</v>
      </c>
      <c r="V24" s="76">
        <f>(U24*22270)/(S24*G24*F24)</f>
        <v>7.2901290252036746E-2</v>
      </c>
      <c r="W24" s="76" t="s">
        <v>117</v>
      </c>
      <c r="X24" s="76"/>
      <c r="Y24" s="76"/>
      <c r="Z24" s="601"/>
      <c r="AA24" s="602"/>
    </row>
    <row r="25" spans="1:27" ht="14.4" thickBot="1" x14ac:dyDescent="0.3">
      <c r="A25" s="603" t="s">
        <v>339</v>
      </c>
      <c r="B25" s="604"/>
      <c r="C25" s="604"/>
      <c r="D25" s="604"/>
      <c r="E25" s="604"/>
      <c r="F25" s="604"/>
      <c r="G25" s="604"/>
      <c r="H25" s="604"/>
      <c r="I25" s="604"/>
      <c r="J25" s="604"/>
      <c r="K25" s="604"/>
      <c r="L25" s="604"/>
      <c r="M25" s="604"/>
      <c r="N25" s="604"/>
      <c r="O25" s="604"/>
      <c r="P25" s="604"/>
      <c r="Q25" s="604"/>
      <c r="R25" s="604"/>
      <c r="S25" s="604"/>
      <c r="T25" s="604"/>
      <c r="U25" s="604"/>
      <c r="V25" s="604"/>
      <c r="W25" s="604"/>
      <c r="X25" s="604"/>
      <c r="Y25" s="604"/>
      <c r="Z25" s="604"/>
      <c r="AA25" s="605"/>
    </row>
    <row r="26" spans="1:27" ht="41.4" x14ac:dyDescent="0.25">
      <c r="A26" s="132">
        <v>8</v>
      </c>
      <c r="B26" s="132" t="s">
        <v>340</v>
      </c>
      <c r="C26" s="133" t="s">
        <v>310</v>
      </c>
      <c r="D26" s="143" t="s">
        <v>341</v>
      </c>
      <c r="E26" s="134" t="s">
        <v>19</v>
      </c>
      <c r="F26" s="144">
        <v>2.5</v>
      </c>
      <c r="G26" s="145">
        <v>7.86</v>
      </c>
      <c r="H26" s="134" t="s">
        <v>342</v>
      </c>
      <c r="I26" s="134" t="s">
        <v>14</v>
      </c>
      <c r="J26" s="146">
        <v>44962</v>
      </c>
      <c r="K26" s="147" t="s">
        <v>343</v>
      </c>
      <c r="L26" s="135">
        <v>17.607399999999998</v>
      </c>
      <c r="M26" s="67" t="s">
        <v>2</v>
      </c>
      <c r="N26" s="67" t="s">
        <v>4</v>
      </c>
      <c r="O26" s="67" t="s">
        <v>4</v>
      </c>
      <c r="P26" s="77">
        <v>17.625</v>
      </c>
      <c r="Q26" s="77">
        <v>17.565999999999999</v>
      </c>
      <c r="R26" s="116">
        <v>45900</v>
      </c>
      <c r="S26" s="9">
        <f t="shared" ref="S26:S28" si="9">R26-J26</f>
        <v>938</v>
      </c>
      <c r="T26" s="109">
        <f t="shared" ref="T26:T28" si="10">L26-Q26</f>
        <v>4.1399999999999437E-2</v>
      </c>
      <c r="U26" s="109">
        <f t="shared" ref="U26:U28" si="11">T26-0.01</f>
        <v>3.1399999999999435E-2</v>
      </c>
      <c r="V26" s="9">
        <f t="shared" ref="V26:V28" si="12">(U26*22270)/(S26*G26*F26)</f>
        <v>3.7938877043353969E-2</v>
      </c>
      <c r="W26" s="9" t="s">
        <v>117</v>
      </c>
      <c r="X26" s="9"/>
      <c r="Y26" s="9"/>
      <c r="Z26" s="601"/>
      <c r="AA26" s="602"/>
    </row>
    <row r="27" spans="1:27" ht="13.2" customHeight="1" x14ac:dyDescent="0.25">
      <c r="A27" s="655">
        <v>9</v>
      </c>
      <c r="B27" s="655" t="s">
        <v>344</v>
      </c>
      <c r="C27" s="651" t="s">
        <v>310</v>
      </c>
      <c r="D27" s="607" t="s">
        <v>89</v>
      </c>
      <c r="E27" s="607" t="s">
        <v>19</v>
      </c>
      <c r="F27" s="148">
        <v>5.2</v>
      </c>
      <c r="G27" s="149">
        <v>7.86</v>
      </c>
      <c r="H27" s="607" t="s">
        <v>345</v>
      </c>
      <c r="I27" s="607" t="s">
        <v>14</v>
      </c>
      <c r="J27" s="138">
        <v>44962</v>
      </c>
      <c r="K27" s="136" t="s">
        <v>346</v>
      </c>
      <c r="L27" s="137">
        <v>37.093499999999999</v>
      </c>
      <c r="M27" s="17" t="s">
        <v>2</v>
      </c>
      <c r="N27" s="17" t="s">
        <v>4</v>
      </c>
      <c r="O27" s="17" t="s">
        <v>4</v>
      </c>
      <c r="P27" s="70">
        <v>37.124000000000002</v>
      </c>
      <c r="Q27" s="70">
        <v>37.069000000000003</v>
      </c>
      <c r="R27" s="117">
        <v>45900</v>
      </c>
      <c r="S27" s="22">
        <f t="shared" si="9"/>
        <v>938</v>
      </c>
      <c r="T27" s="107">
        <f t="shared" si="10"/>
        <v>2.4499999999996191E-2</v>
      </c>
      <c r="U27" s="107">
        <f t="shared" si="11"/>
        <v>1.4499999999996191E-2</v>
      </c>
      <c r="V27" s="22">
        <f t="shared" si="12"/>
        <v>8.4228582362888584E-3</v>
      </c>
      <c r="W27" s="22" t="s">
        <v>117</v>
      </c>
      <c r="X27" s="22"/>
      <c r="Y27" s="22"/>
      <c r="Z27" s="601"/>
      <c r="AA27" s="602"/>
    </row>
    <row r="28" spans="1:27" ht="13.8" customHeight="1" thickBot="1" x14ac:dyDescent="0.3">
      <c r="A28" s="653"/>
      <c r="B28" s="653"/>
      <c r="C28" s="654"/>
      <c r="D28" s="645"/>
      <c r="E28" s="645"/>
      <c r="F28" s="150">
        <v>5.2</v>
      </c>
      <c r="G28" s="151">
        <v>7.86</v>
      </c>
      <c r="H28" s="645"/>
      <c r="I28" s="645"/>
      <c r="J28" s="141">
        <v>44962</v>
      </c>
      <c r="K28" s="140" t="s">
        <v>347</v>
      </c>
      <c r="L28" s="142">
        <v>36.755699999999997</v>
      </c>
      <c r="M28" s="42" t="s">
        <v>2</v>
      </c>
      <c r="N28" s="42" t="s">
        <v>4</v>
      </c>
      <c r="O28" s="42" t="s">
        <v>4</v>
      </c>
      <c r="P28" s="74">
        <v>36.786999999999999</v>
      </c>
      <c r="Q28" s="74">
        <v>36.731999999999999</v>
      </c>
      <c r="R28" s="118">
        <v>45900</v>
      </c>
      <c r="S28" s="76">
        <f t="shared" si="9"/>
        <v>938</v>
      </c>
      <c r="T28" s="108">
        <f t="shared" si="10"/>
        <v>2.3699999999998056E-2</v>
      </c>
      <c r="U28" s="108">
        <f t="shared" si="11"/>
        <v>1.3699999999998056E-2</v>
      </c>
      <c r="V28" s="76">
        <f t="shared" si="12"/>
        <v>7.958148816356642E-3</v>
      </c>
      <c r="W28" s="76" t="s">
        <v>117</v>
      </c>
      <c r="X28" s="76"/>
      <c r="Y28" s="76"/>
      <c r="Z28" s="601" t="s">
        <v>473</v>
      </c>
      <c r="AA28" s="602"/>
    </row>
    <row r="29" spans="1:27" ht="14.4" thickBot="1" x14ac:dyDescent="0.3">
      <c r="A29" s="603" t="s">
        <v>348</v>
      </c>
      <c r="B29" s="604"/>
      <c r="C29" s="604"/>
      <c r="D29" s="604"/>
      <c r="E29" s="604"/>
      <c r="F29" s="604"/>
      <c r="G29" s="604"/>
      <c r="H29" s="604"/>
      <c r="I29" s="604"/>
      <c r="J29" s="604"/>
      <c r="K29" s="604"/>
      <c r="L29" s="604"/>
      <c r="M29" s="604"/>
      <c r="N29" s="604"/>
      <c r="O29" s="604"/>
      <c r="P29" s="604"/>
      <c r="Q29" s="604"/>
      <c r="R29" s="604"/>
      <c r="S29" s="604"/>
      <c r="T29" s="604"/>
      <c r="U29" s="604"/>
      <c r="V29" s="604"/>
      <c r="W29" s="604"/>
      <c r="X29" s="604"/>
      <c r="Y29" s="604"/>
      <c r="Z29" s="604"/>
      <c r="AA29" s="605"/>
    </row>
    <row r="30" spans="1:27" ht="13.2" customHeight="1" x14ac:dyDescent="0.25">
      <c r="A30" s="652">
        <v>10</v>
      </c>
      <c r="B30" s="652" t="s">
        <v>349</v>
      </c>
      <c r="C30" s="650" t="s">
        <v>310</v>
      </c>
      <c r="D30" s="606" t="s">
        <v>89</v>
      </c>
      <c r="E30" s="606" t="s">
        <v>19</v>
      </c>
      <c r="F30" s="144">
        <v>5.2</v>
      </c>
      <c r="G30" s="145">
        <v>7.86</v>
      </c>
      <c r="H30" s="606" t="s">
        <v>350</v>
      </c>
      <c r="I30" s="606" t="s">
        <v>14</v>
      </c>
      <c r="J30" s="146">
        <v>44963</v>
      </c>
      <c r="K30" s="134" t="s">
        <v>351</v>
      </c>
      <c r="L30" s="135">
        <v>37.054900000000004</v>
      </c>
      <c r="M30" s="67" t="s">
        <v>2</v>
      </c>
      <c r="N30" s="67" t="s">
        <v>4</v>
      </c>
      <c r="O30" s="67" t="s">
        <v>4</v>
      </c>
      <c r="P30" s="77">
        <v>37.1</v>
      </c>
      <c r="Q30" s="77">
        <v>36.994</v>
      </c>
      <c r="R30" s="116">
        <v>45900</v>
      </c>
      <c r="S30" s="9">
        <f t="shared" ref="S30:S32" si="13">R30-J30</f>
        <v>937</v>
      </c>
      <c r="T30" s="109">
        <f t="shared" ref="T30:T32" si="14">L30-Q30</f>
        <v>6.0900000000003729E-2</v>
      </c>
      <c r="U30" s="109">
        <f t="shared" ref="U30:U32" si="15">T30-0.01</f>
        <v>5.0900000000003727E-2</v>
      </c>
      <c r="V30" s="9">
        <f t="shared" ref="V30:V32" si="16">(U30*22270)/(S30*G30*F30)</f>
        <v>2.9598691951949186E-2</v>
      </c>
      <c r="W30" s="9" t="s">
        <v>117</v>
      </c>
      <c r="X30" s="9"/>
      <c r="Y30" s="9"/>
      <c r="Z30" s="601"/>
      <c r="AA30" s="602"/>
    </row>
    <row r="31" spans="1:27" ht="13.2" customHeight="1" x14ac:dyDescent="0.25">
      <c r="A31" s="655"/>
      <c r="B31" s="655"/>
      <c r="C31" s="651"/>
      <c r="D31" s="607"/>
      <c r="E31" s="607"/>
      <c r="F31" s="148">
        <v>5.2</v>
      </c>
      <c r="G31" s="149">
        <v>7.86</v>
      </c>
      <c r="H31" s="607"/>
      <c r="I31" s="607"/>
      <c r="J31" s="138">
        <v>44963</v>
      </c>
      <c r="K31" s="136" t="s">
        <v>352</v>
      </c>
      <c r="L31" s="137">
        <v>37.006100000000004</v>
      </c>
      <c r="M31" s="17" t="s">
        <v>2</v>
      </c>
      <c r="N31" s="17" t="s">
        <v>4</v>
      </c>
      <c r="O31" s="17" t="s">
        <v>4</v>
      </c>
      <c r="P31" s="70">
        <v>37.055</v>
      </c>
      <c r="Q31" s="70">
        <v>36.941000000000003</v>
      </c>
      <c r="R31" s="117">
        <v>45900</v>
      </c>
      <c r="S31" s="22">
        <f t="shared" si="13"/>
        <v>937</v>
      </c>
      <c r="T31" s="107">
        <f t="shared" si="14"/>
        <v>6.5100000000001046E-2</v>
      </c>
      <c r="U31" s="107">
        <f t="shared" si="15"/>
        <v>5.5100000000001044E-2</v>
      </c>
      <c r="V31" s="22">
        <f t="shared" si="16"/>
        <v>3.2041020168021836E-2</v>
      </c>
      <c r="W31" s="22" t="s">
        <v>117</v>
      </c>
      <c r="X31" s="22"/>
      <c r="Y31" s="22"/>
      <c r="Z31" s="601"/>
      <c r="AA31" s="602"/>
    </row>
    <row r="32" spans="1:27" ht="42" thickBot="1" x14ac:dyDescent="0.3">
      <c r="A32" s="128">
        <v>11</v>
      </c>
      <c r="B32" s="128" t="s">
        <v>353</v>
      </c>
      <c r="C32" s="139" t="s">
        <v>310</v>
      </c>
      <c r="D32" s="152" t="s">
        <v>341</v>
      </c>
      <c r="E32" s="140" t="s">
        <v>19</v>
      </c>
      <c r="F32" s="150">
        <v>2.5</v>
      </c>
      <c r="G32" s="151">
        <v>7.86</v>
      </c>
      <c r="H32" s="153" t="s">
        <v>342</v>
      </c>
      <c r="I32" s="140" t="s">
        <v>14</v>
      </c>
      <c r="J32" s="141">
        <v>44961</v>
      </c>
      <c r="K32" s="153" t="s">
        <v>354</v>
      </c>
      <c r="L32" s="142">
        <v>17.378900000000002</v>
      </c>
      <c r="M32" s="42" t="s">
        <v>2</v>
      </c>
      <c r="N32" s="42" t="s">
        <v>4</v>
      </c>
      <c r="O32" s="42" t="s">
        <v>4</v>
      </c>
      <c r="P32" s="74">
        <v>14.923</v>
      </c>
      <c r="Q32" s="74">
        <v>14.726000000000001</v>
      </c>
      <c r="R32" s="118">
        <v>45900</v>
      </c>
      <c r="S32" s="76">
        <f t="shared" si="13"/>
        <v>939</v>
      </c>
      <c r="T32" s="108">
        <f t="shared" si="14"/>
        <v>2.6529000000000007</v>
      </c>
      <c r="U32" s="108">
        <f t="shared" si="15"/>
        <v>2.6429000000000009</v>
      </c>
      <c r="V32" s="76">
        <f t="shared" si="16"/>
        <v>3.1898686545970905</v>
      </c>
      <c r="W32" s="76" t="s">
        <v>466</v>
      </c>
      <c r="X32" s="76">
        <v>0.24</v>
      </c>
      <c r="Y32" s="76">
        <f>((X32*365)/S32)*39.4</f>
        <v>3.6756549520766768</v>
      </c>
      <c r="Z32" s="613" t="s">
        <v>469</v>
      </c>
      <c r="AA32" s="613"/>
    </row>
    <row r="33" spans="1:27" ht="14.4" thickBot="1" x14ac:dyDescent="0.3">
      <c r="A33" s="603" t="s">
        <v>355</v>
      </c>
      <c r="B33" s="604"/>
      <c r="C33" s="604"/>
      <c r="D33" s="604"/>
      <c r="E33" s="604"/>
      <c r="F33" s="604"/>
      <c r="G33" s="604"/>
      <c r="H33" s="604"/>
      <c r="I33" s="604"/>
      <c r="J33" s="604"/>
      <c r="K33" s="604"/>
      <c r="L33" s="604"/>
      <c r="M33" s="604"/>
      <c r="N33" s="604"/>
      <c r="O33" s="604"/>
      <c r="P33" s="604"/>
      <c r="Q33" s="604"/>
      <c r="R33" s="604"/>
      <c r="S33" s="604"/>
      <c r="T33" s="604"/>
      <c r="U33" s="604"/>
      <c r="V33" s="604"/>
      <c r="W33" s="604"/>
      <c r="X33" s="604"/>
      <c r="Y33" s="604"/>
      <c r="Z33" s="604"/>
      <c r="AA33" s="605"/>
    </row>
    <row r="34" spans="1:27" ht="13.2" customHeight="1" x14ac:dyDescent="0.25">
      <c r="A34" s="652">
        <v>12</v>
      </c>
      <c r="B34" s="652" t="s">
        <v>356</v>
      </c>
      <c r="C34" s="650" t="s">
        <v>310</v>
      </c>
      <c r="D34" s="606" t="s">
        <v>89</v>
      </c>
      <c r="E34" s="606" t="s">
        <v>19</v>
      </c>
      <c r="F34" s="144">
        <v>5.2</v>
      </c>
      <c r="G34" s="145">
        <v>7.86</v>
      </c>
      <c r="H34" s="606" t="s">
        <v>88</v>
      </c>
      <c r="I34" s="606" t="s">
        <v>14</v>
      </c>
      <c r="J34" s="146">
        <v>44964</v>
      </c>
      <c r="K34" s="134" t="s">
        <v>357</v>
      </c>
      <c r="L34" s="135">
        <v>36.9542</v>
      </c>
      <c r="M34" s="67" t="s">
        <v>2</v>
      </c>
      <c r="N34" s="67" t="s">
        <v>4</v>
      </c>
      <c r="O34" s="67" t="s">
        <v>4</v>
      </c>
      <c r="P34" s="77">
        <v>36.811</v>
      </c>
      <c r="Q34" s="77">
        <v>36.673999999999999</v>
      </c>
      <c r="R34" s="116">
        <v>45903</v>
      </c>
      <c r="S34" s="9">
        <f t="shared" ref="S34:S35" si="17">R34-J34</f>
        <v>939</v>
      </c>
      <c r="T34" s="109">
        <f t="shared" ref="T34:T35" si="18">L34-Q34</f>
        <v>0.28020000000000067</v>
      </c>
      <c r="U34" s="109">
        <f t="shared" ref="U34:U35" si="19">T34-0.01</f>
        <v>0.27020000000000066</v>
      </c>
      <c r="V34" s="9">
        <f t="shared" ref="V34:V35" si="20">(U34*22270)/(S34*G34*F34)</f>
        <v>0.15678845471177777</v>
      </c>
      <c r="W34" s="9" t="s">
        <v>117</v>
      </c>
      <c r="X34" s="9"/>
      <c r="Y34" s="9"/>
      <c r="Z34" s="601"/>
      <c r="AA34" s="602"/>
    </row>
    <row r="35" spans="1:27" ht="13.8" customHeight="1" x14ac:dyDescent="0.25">
      <c r="A35" s="655"/>
      <c r="B35" s="655"/>
      <c r="C35" s="651"/>
      <c r="D35" s="607"/>
      <c r="E35" s="607"/>
      <c r="F35" s="148">
        <v>5.2</v>
      </c>
      <c r="G35" s="149">
        <v>7.86</v>
      </c>
      <c r="H35" s="607"/>
      <c r="I35" s="607"/>
      <c r="J35" s="138">
        <v>44964</v>
      </c>
      <c r="K35" s="136" t="s">
        <v>358</v>
      </c>
      <c r="L35" s="137">
        <v>36.801900000000003</v>
      </c>
      <c r="M35" s="17" t="s">
        <v>2</v>
      </c>
      <c r="N35" s="17" t="s">
        <v>4</v>
      </c>
      <c r="O35" s="17" t="s">
        <v>4</v>
      </c>
      <c r="P35" s="70">
        <v>36.645000000000003</v>
      </c>
      <c r="Q35" s="70">
        <v>36.572000000000003</v>
      </c>
      <c r="R35" s="117">
        <v>45903</v>
      </c>
      <c r="S35" s="22">
        <f t="shared" si="17"/>
        <v>939</v>
      </c>
      <c r="T35" s="107">
        <f t="shared" si="18"/>
        <v>0.22990000000000066</v>
      </c>
      <c r="U35" s="107">
        <f t="shared" si="19"/>
        <v>0.21990000000000065</v>
      </c>
      <c r="V35" s="22">
        <f t="shared" si="20"/>
        <v>0.12760096665847501</v>
      </c>
      <c r="W35" s="22" t="s">
        <v>117</v>
      </c>
      <c r="X35" s="22"/>
      <c r="Y35" s="22"/>
      <c r="Z35" s="601"/>
      <c r="AA35" s="602"/>
    </row>
    <row r="36" spans="1:27" x14ac:dyDescent="0.25">
      <c r="A36" s="622" t="s">
        <v>359</v>
      </c>
      <c r="B36" s="622"/>
      <c r="C36" s="622"/>
      <c r="D36" s="622"/>
      <c r="E36" s="622"/>
      <c r="F36" s="622"/>
      <c r="G36" s="622"/>
      <c r="H36" s="622"/>
      <c r="I36" s="622"/>
      <c r="J36" s="622"/>
      <c r="K36" s="622"/>
      <c r="L36" s="622"/>
      <c r="M36" s="622"/>
      <c r="N36" s="622"/>
      <c r="O36" s="622"/>
      <c r="P36" s="622"/>
      <c r="Q36" s="622"/>
      <c r="R36" s="622"/>
      <c r="S36" s="622"/>
      <c r="T36" s="622"/>
      <c r="U36" s="622"/>
      <c r="V36" s="622"/>
      <c r="W36" s="622"/>
      <c r="X36" s="622"/>
      <c r="Y36" s="622"/>
      <c r="Z36" s="622"/>
      <c r="AA36" s="622"/>
    </row>
    <row r="37" spans="1:27" ht="13.2" customHeight="1" x14ac:dyDescent="0.25">
      <c r="A37" s="655">
        <v>13</v>
      </c>
      <c r="B37" s="655" t="s">
        <v>360</v>
      </c>
      <c r="C37" s="651" t="s">
        <v>310</v>
      </c>
      <c r="D37" s="607" t="s">
        <v>89</v>
      </c>
      <c r="E37" s="607" t="s">
        <v>19</v>
      </c>
      <c r="F37" s="148">
        <v>5.2</v>
      </c>
      <c r="G37" s="149">
        <v>7.86</v>
      </c>
      <c r="H37" s="607" t="s">
        <v>361</v>
      </c>
      <c r="I37" s="607" t="s">
        <v>14</v>
      </c>
      <c r="J37" s="138">
        <v>44961</v>
      </c>
      <c r="K37" s="136" t="s">
        <v>362</v>
      </c>
      <c r="L37" s="137">
        <v>36.937899999999999</v>
      </c>
      <c r="M37" s="17" t="s">
        <v>2</v>
      </c>
      <c r="N37" s="17" t="s">
        <v>4</v>
      </c>
      <c r="O37" s="17" t="s">
        <v>4</v>
      </c>
      <c r="P37" s="70">
        <v>37.050600000000003</v>
      </c>
      <c r="Q37" s="70">
        <v>36.906999999999996</v>
      </c>
      <c r="R37" s="117">
        <v>45901</v>
      </c>
      <c r="S37" s="22">
        <f t="shared" ref="S37:S38" si="21">R37-J37</f>
        <v>940</v>
      </c>
      <c r="T37" s="107">
        <f t="shared" ref="T37:T38" si="22">L37-Q37</f>
        <v>3.0900000000002592E-2</v>
      </c>
      <c r="U37" s="107">
        <f t="shared" ref="U37:U38" si="23">T37-0.01</f>
        <v>2.090000000000259E-2</v>
      </c>
      <c r="V37" s="22">
        <f t="shared" ref="V37:V38" si="24">(U37*22270)/(S37*G37*F37)</f>
        <v>1.211470267321481E-2</v>
      </c>
      <c r="W37" s="22" t="s">
        <v>117</v>
      </c>
      <c r="X37" s="22"/>
      <c r="Y37" s="22"/>
      <c r="Z37" s="601"/>
      <c r="AA37" s="602"/>
    </row>
    <row r="38" spans="1:27" ht="13.8" customHeight="1" thickBot="1" x14ac:dyDescent="0.3">
      <c r="A38" s="653"/>
      <c r="B38" s="653"/>
      <c r="C38" s="654"/>
      <c r="D38" s="645"/>
      <c r="E38" s="645"/>
      <c r="F38" s="150">
        <v>5.2</v>
      </c>
      <c r="G38" s="151">
        <v>7.86</v>
      </c>
      <c r="H38" s="645"/>
      <c r="I38" s="645"/>
      <c r="J38" s="141">
        <v>44961</v>
      </c>
      <c r="K38" s="140" t="s">
        <v>363</v>
      </c>
      <c r="L38" s="142">
        <v>36.814999999999998</v>
      </c>
      <c r="M38" s="42" t="s">
        <v>2</v>
      </c>
      <c r="N38" s="42" t="s">
        <v>4</v>
      </c>
      <c r="O38" s="42" t="s">
        <v>4</v>
      </c>
      <c r="P38" s="74">
        <v>36.893999999999998</v>
      </c>
      <c r="Q38" s="74">
        <v>36.787999999999997</v>
      </c>
      <c r="R38" s="118">
        <v>45901</v>
      </c>
      <c r="S38" s="76">
        <f t="shared" si="21"/>
        <v>940</v>
      </c>
      <c r="T38" s="108">
        <f t="shared" si="22"/>
        <v>2.7000000000001023E-2</v>
      </c>
      <c r="U38" s="108">
        <f t="shared" si="23"/>
        <v>1.7000000000001021E-2</v>
      </c>
      <c r="V38" s="76">
        <f t="shared" si="24"/>
        <v>9.8540643753415626E-3</v>
      </c>
      <c r="W38" s="76" t="s">
        <v>117</v>
      </c>
      <c r="X38" s="76"/>
      <c r="Y38" s="76"/>
      <c r="Z38" s="601"/>
      <c r="AA38" s="602"/>
    </row>
    <row r="39" spans="1:27" ht="14.4" thickBot="1" x14ac:dyDescent="0.3">
      <c r="A39" s="623" t="s">
        <v>364</v>
      </c>
      <c r="B39" s="624"/>
      <c r="C39" s="624"/>
      <c r="D39" s="624"/>
      <c r="E39" s="624"/>
      <c r="F39" s="624"/>
      <c r="G39" s="624"/>
      <c r="H39" s="624"/>
      <c r="I39" s="624"/>
      <c r="J39" s="624"/>
      <c r="K39" s="624"/>
      <c r="L39" s="624"/>
      <c r="M39" s="624"/>
      <c r="N39" s="624"/>
      <c r="O39" s="624"/>
      <c r="P39" s="624"/>
      <c r="Q39" s="624"/>
      <c r="R39" s="624"/>
      <c r="S39" s="624"/>
      <c r="T39" s="624"/>
      <c r="U39" s="624"/>
      <c r="V39" s="624"/>
      <c r="W39" s="624"/>
      <c r="X39" s="624"/>
      <c r="Y39" s="624"/>
      <c r="Z39" s="624"/>
      <c r="AA39" s="625"/>
    </row>
    <row r="40" spans="1:27" ht="25.8" customHeight="1" x14ac:dyDescent="0.25">
      <c r="A40" s="652">
        <v>14</v>
      </c>
      <c r="B40" s="652" t="s">
        <v>365</v>
      </c>
      <c r="C40" s="650" t="s">
        <v>315</v>
      </c>
      <c r="D40" s="606" t="s">
        <v>89</v>
      </c>
      <c r="E40" s="606" t="s">
        <v>19</v>
      </c>
      <c r="F40" s="144">
        <v>5.2</v>
      </c>
      <c r="G40" s="145">
        <v>7.86</v>
      </c>
      <c r="H40" s="606" t="s">
        <v>149</v>
      </c>
      <c r="I40" s="606" t="s">
        <v>317</v>
      </c>
      <c r="J40" s="146">
        <v>44958</v>
      </c>
      <c r="K40" s="134" t="s">
        <v>366</v>
      </c>
      <c r="L40" s="135">
        <v>37.031399999999998</v>
      </c>
      <c r="M40" s="67" t="s">
        <v>2</v>
      </c>
      <c r="N40" s="67" t="s">
        <v>4</v>
      </c>
      <c r="O40" s="67" t="s">
        <v>4</v>
      </c>
      <c r="P40" s="77">
        <v>36.865000000000002</v>
      </c>
      <c r="Q40" s="77">
        <v>36.002000000000002</v>
      </c>
      <c r="R40" s="116">
        <v>45898</v>
      </c>
      <c r="S40" s="9">
        <f t="shared" ref="S40:S67" si="25">R40-J40</f>
        <v>940</v>
      </c>
      <c r="T40" s="109">
        <f t="shared" ref="T40:T67" si="26">L40-Q40</f>
        <v>1.0293999999999954</v>
      </c>
      <c r="U40" s="109">
        <f t="shared" ref="U40:U67" si="27">T40-0.01</f>
        <v>1.0193999999999954</v>
      </c>
      <c r="V40" s="9">
        <f t="shared" ref="V40:V67" si="28">(U40*22270)/(S40*G40*F40)</f>
        <v>0.59089607201309058</v>
      </c>
      <c r="W40" s="9" t="s">
        <v>466</v>
      </c>
      <c r="X40" s="9">
        <v>0.03</v>
      </c>
      <c r="Y40" s="9">
        <f>((X40*365)/S40)*39.4</f>
        <v>0.45896808510638287</v>
      </c>
      <c r="Z40" s="614" t="s">
        <v>472</v>
      </c>
      <c r="AA40" s="614"/>
    </row>
    <row r="41" spans="1:27" ht="25.8" customHeight="1" x14ac:dyDescent="0.25">
      <c r="A41" s="655">
        <v>16</v>
      </c>
      <c r="B41" s="655"/>
      <c r="C41" s="651"/>
      <c r="D41" s="607"/>
      <c r="E41" s="607"/>
      <c r="F41" s="148">
        <v>5.2</v>
      </c>
      <c r="G41" s="149">
        <v>7.86</v>
      </c>
      <c r="H41" s="607"/>
      <c r="I41" s="607"/>
      <c r="J41" s="138">
        <v>44958</v>
      </c>
      <c r="K41" s="136" t="s">
        <v>367</v>
      </c>
      <c r="L41" s="137">
        <v>36.589100000000002</v>
      </c>
      <c r="M41" s="17" t="s">
        <v>2</v>
      </c>
      <c r="N41" s="17" t="s">
        <v>4</v>
      </c>
      <c r="O41" s="17" t="s">
        <v>4</v>
      </c>
      <c r="P41" s="70">
        <v>36.5</v>
      </c>
      <c r="Q41" s="70">
        <v>35.503</v>
      </c>
      <c r="R41" s="117">
        <v>45898</v>
      </c>
      <c r="S41" s="22">
        <f t="shared" si="25"/>
        <v>940</v>
      </c>
      <c r="T41" s="107">
        <f t="shared" si="26"/>
        <v>1.0861000000000018</v>
      </c>
      <c r="U41" s="107">
        <f t="shared" si="27"/>
        <v>1.0761000000000018</v>
      </c>
      <c r="V41" s="22">
        <f t="shared" si="28"/>
        <v>0.62376227495908432</v>
      </c>
      <c r="W41" s="22" t="s">
        <v>466</v>
      </c>
      <c r="X41" s="22">
        <v>0.02</v>
      </c>
      <c r="Y41" s="22">
        <f>((X41*365)/S41)*39.4</f>
        <v>0.3059787234042553</v>
      </c>
      <c r="Z41" s="615" t="s">
        <v>472</v>
      </c>
      <c r="AA41" s="615"/>
    </row>
    <row r="42" spans="1:27" ht="13.2" customHeight="1" x14ac:dyDescent="0.25">
      <c r="A42" s="655">
        <v>15</v>
      </c>
      <c r="B42" s="655" t="s">
        <v>368</v>
      </c>
      <c r="C42" s="651" t="s">
        <v>315</v>
      </c>
      <c r="D42" s="607" t="s">
        <v>89</v>
      </c>
      <c r="E42" s="607" t="s">
        <v>19</v>
      </c>
      <c r="F42" s="148">
        <v>5.2</v>
      </c>
      <c r="G42" s="149">
        <v>7.86</v>
      </c>
      <c r="H42" s="607" t="s">
        <v>149</v>
      </c>
      <c r="I42" s="607" t="s">
        <v>317</v>
      </c>
      <c r="J42" s="138">
        <v>44958</v>
      </c>
      <c r="K42" s="136" t="s">
        <v>369</v>
      </c>
      <c r="L42" s="137">
        <v>37.0503</v>
      </c>
      <c r="M42" s="17" t="s">
        <v>2</v>
      </c>
      <c r="N42" s="17" t="s">
        <v>4</v>
      </c>
      <c r="O42" s="17" t="s">
        <v>4</v>
      </c>
      <c r="P42" s="70">
        <v>37.064999999999998</v>
      </c>
      <c r="Q42" s="70">
        <v>36.75</v>
      </c>
      <c r="R42" s="117">
        <v>45899</v>
      </c>
      <c r="S42" s="22">
        <f t="shared" si="25"/>
        <v>941</v>
      </c>
      <c r="T42" s="107">
        <f t="shared" si="26"/>
        <v>0.30030000000000001</v>
      </c>
      <c r="U42" s="107">
        <f t="shared" si="27"/>
        <v>0.2903</v>
      </c>
      <c r="V42" s="22">
        <f t="shared" si="28"/>
        <v>0.16809381727022532</v>
      </c>
      <c r="W42" s="22" t="s">
        <v>117</v>
      </c>
      <c r="X42" s="22"/>
      <c r="Y42" s="22"/>
      <c r="Z42" s="601"/>
      <c r="AA42" s="602"/>
    </row>
    <row r="43" spans="1:27" ht="13.2" customHeight="1" x14ac:dyDescent="0.25">
      <c r="A43" s="655"/>
      <c r="B43" s="655"/>
      <c r="C43" s="651"/>
      <c r="D43" s="607"/>
      <c r="E43" s="607"/>
      <c r="F43" s="148">
        <v>5.2</v>
      </c>
      <c r="G43" s="149">
        <v>7.86</v>
      </c>
      <c r="H43" s="607"/>
      <c r="I43" s="607"/>
      <c r="J43" s="138">
        <v>44958</v>
      </c>
      <c r="K43" s="136" t="s">
        <v>370</v>
      </c>
      <c r="L43" s="137">
        <v>36.589100000000002</v>
      </c>
      <c r="M43" s="17" t="s">
        <v>2</v>
      </c>
      <c r="N43" s="17" t="s">
        <v>4</v>
      </c>
      <c r="O43" s="17" t="s">
        <v>4</v>
      </c>
      <c r="P43" s="70">
        <v>36.981000000000002</v>
      </c>
      <c r="Q43" s="70">
        <v>36.698</v>
      </c>
      <c r="R43" s="117">
        <v>45899</v>
      </c>
      <c r="S43" s="22">
        <f t="shared" si="25"/>
        <v>941</v>
      </c>
      <c r="T43" s="107">
        <f>L43-Q43</f>
        <v>-0.10889999999999844</v>
      </c>
      <c r="U43" s="107">
        <f t="shared" si="27"/>
        <v>-0.11889999999999844</v>
      </c>
      <c r="V43" s="22">
        <f>(U43*22270)/(S43*G43*F43)</f>
        <v>-6.8847243794107921E-2</v>
      </c>
      <c r="W43" s="22" t="s">
        <v>117</v>
      </c>
      <c r="X43" s="22"/>
      <c r="Y43" s="22"/>
      <c r="Z43" s="601"/>
      <c r="AA43" s="602"/>
    </row>
    <row r="44" spans="1:27" ht="13.2" customHeight="1" x14ac:dyDescent="0.25">
      <c r="A44" s="655">
        <v>16</v>
      </c>
      <c r="B44" s="655" t="s">
        <v>371</v>
      </c>
      <c r="C44" s="651" t="s">
        <v>315</v>
      </c>
      <c r="D44" s="607" t="s">
        <v>89</v>
      </c>
      <c r="E44" s="607" t="s">
        <v>19</v>
      </c>
      <c r="F44" s="148">
        <v>5.2</v>
      </c>
      <c r="G44" s="149">
        <v>7.86</v>
      </c>
      <c r="H44" s="607" t="s">
        <v>245</v>
      </c>
      <c r="I44" s="607" t="s">
        <v>317</v>
      </c>
      <c r="J44" s="138">
        <v>44959</v>
      </c>
      <c r="K44" s="136" t="s">
        <v>372</v>
      </c>
      <c r="L44" s="137">
        <v>36.743099999999998</v>
      </c>
      <c r="M44" s="17" t="s">
        <v>2</v>
      </c>
      <c r="N44" s="17" t="s">
        <v>4</v>
      </c>
      <c r="O44" s="17" t="s">
        <v>4</v>
      </c>
      <c r="P44" s="70">
        <v>36.774000000000001</v>
      </c>
      <c r="Q44" s="70">
        <v>36.524000000000001</v>
      </c>
      <c r="R44" s="117">
        <v>45899</v>
      </c>
      <c r="S44" s="22">
        <f t="shared" si="25"/>
        <v>940</v>
      </c>
      <c r="T44" s="107">
        <f t="shared" si="26"/>
        <v>0.21909999999999741</v>
      </c>
      <c r="U44" s="107">
        <f t="shared" si="27"/>
        <v>0.2090999999999974</v>
      </c>
      <c r="V44" s="22">
        <f t="shared" si="28"/>
        <v>0.12120499181669241</v>
      </c>
      <c r="W44" s="22" t="s">
        <v>117</v>
      </c>
      <c r="X44" s="22"/>
      <c r="Y44" s="22"/>
      <c r="Z44" s="601"/>
      <c r="AA44" s="602"/>
    </row>
    <row r="45" spans="1:27" ht="13.2" customHeight="1" x14ac:dyDescent="0.25">
      <c r="A45" s="655"/>
      <c r="B45" s="655"/>
      <c r="C45" s="651"/>
      <c r="D45" s="607"/>
      <c r="E45" s="607"/>
      <c r="F45" s="148">
        <v>5.2</v>
      </c>
      <c r="G45" s="149">
        <v>7.86</v>
      </c>
      <c r="H45" s="607"/>
      <c r="I45" s="607"/>
      <c r="J45" s="138">
        <v>44959</v>
      </c>
      <c r="K45" s="136" t="s">
        <v>373</v>
      </c>
      <c r="L45" s="137">
        <v>36.786200000000001</v>
      </c>
      <c r="M45" s="17" t="s">
        <v>2</v>
      </c>
      <c r="N45" s="17" t="s">
        <v>4</v>
      </c>
      <c r="O45" s="17" t="s">
        <v>4</v>
      </c>
      <c r="P45" s="70">
        <v>36.831000000000003</v>
      </c>
      <c r="Q45" s="70">
        <v>36.590000000000003</v>
      </c>
      <c r="R45" s="117">
        <v>45899</v>
      </c>
      <c r="S45" s="22">
        <f t="shared" si="25"/>
        <v>940</v>
      </c>
      <c r="T45" s="107">
        <f t="shared" si="26"/>
        <v>0.19619999999999749</v>
      </c>
      <c r="U45" s="107">
        <f t="shared" si="27"/>
        <v>0.18619999999999748</v>
      </c>
      <c r="V45" s="22">
        <f t="shared" si="28"/>
        <v>0.10793098745226255</v>
      </c>
      <c r="W45" s="22" t="s">
        <v>117</v>
      </c>
      <c r="X45" s="22"/>
      <c r="Y45" s="22"/>
      <c r="Z45" s="601"/>
      <c r="AA45" s="602"/>
    </row>
    <row r="46" spans="1:27" ht="13.2" customHeight="1" x14ac:dyDescent="0.25">
      <c r="A46" s="655">
        <v>17</v>
      </c>
      <c r="B46" s="655" t="s">
        <v>374</v>
      </c>
      <c r="C46" s="651" t="s">
        <v>315</v>
      </c>
      <c r="D46" s="607" t="s">
        <v>375</v>
      </c>
      <c r="E46" s="607" t="s">
        <v>375</v>
      </c>
      <c r="F46" s="656" t="s">
        <v>375</v>
      </c>
      <c r="G46" s="657" t="s">
        <v>375</v>
      </c>
      <c r="H46" s="607" t="s">
        <v>375</v>
      </c>
      <c r="I46" s="607" t="s">
        <v>375</v>
      </c>
      <c r="J46" s="658" t="s">
        <v>375</v>
      </c>
      <c r="K46" s="136" t="s">
        <v>375</v>
      </c>
      <c r="L46" s="137" t="s">
        <v>375</v>
      </c>
      <c r="M46" s="27" t="s">
        <v>123</v>
      </c>
      <c r="N46" s="27" t="s">
        <v>124</v>
      </c>
      <c r="O46" s="27" t="s">
        <v>120</v>
      </c>
      <c r="P46" s="70"/>
      <c r="Q46" s="70"/>
      <c r="R46" s="117"/>
      <c r="S46" s="22"/>
      <c r="T46" s="107"/>
      <c r="U46" s="107"/>
      <c r="V46" s="22" t="s">
        <v>117</v>
      </c>
      <c r="W46" s="22"/>
      <c r="X46" s="22"/>
      <c r="Y46" s="22"/>
      <c r="Z46" s="601"/>
      <c r="AA46" s="602"/>
    </row>
    <row r="47" spans="1:27" ht="13.2" customHeight="1" x14ac:dyDescent="0.25">
      <c r="A47" s="655"/>
      <c r="B47" s="655"/>
      <c r="C47" s="651"/>
      <c r="D47" s="607"/>
      <c r="E47" s="607"/>
      <c r="F47" s="656"/>
      <c r="G47" s="657"/>
      <c r="H47" s="607"/>
      <c r="I47" s="607"/>
      <c r="J47" s="658"/>
      <c r="K47" s="136" t="s">
        <v>375</v>
      </c>
      <c r="L47" s="137" t="s">
        <v>375</v>
      </c>
      <c r="M47" s="27" t="s">
        <v>123</v>
      </c>
      <c r="N47" s="27" t="s">
        <v>124</v>
      </c>
      <c r="O47" s="27" t="s">
        <v>120</v>
      </c>
      <c r="P47" s="70"/>
      <c r="Q47" s="70"/>
      <c r="R47" s="117"/>
      <c r="S47" s="22"/>
      <c r="T47" s="107"/>
      <c r="U47" s="107"/>
      <c r="V47" s="22" t="s">
        <v>117</v>
      </c>
      <c r="W47" s="22"/>
      <c r="X47" s="22"/>
      <c r="Y47" s="22"/>
      <c r="Z47" s="601"/>
      <c r="AA47" s="602"/>
    </row>
    <row r="48" spans="1:27" ht="13.2" customHeight="1" x14ac:dyDescent="0.25">
      <c r="A48" s="655">
        <v>18</v>
      </c>
      <c r="B48" s="655" t="s">
        <v>376</v>
      </c>
      <c r="C48" s="651" t="s">
        <v>315</v>
      </c>
      <c r="D48" s="607" t="s">
        <v>375</v>
      </c>
      <c r="E48" s="607" t="s">
        <v>375</v>
      </c>
      <c r="F48" s="656" t="s">
        <v>375</v>
      </c>
      <c r="G48" s="657" t="s">
        <v>375</v>
      </c>
      <c r="H48" s="607" t="s">
        <v>375</v>
      </c>
      <c r="I48" s="607" t="s">
        <v>375</v>
      </c>
      <c r="J48" s="658" t="s">
        <v>375</v>
      </c>
      <c r="K48" s="136" t="s">
        <v>375</v>
      </c>
      <c r="L48" s="137" t="s">
        <v>375</v>
      </c>
      <c r="M48" s="27" t="s">
        <v>123</v>
      </c>
      <c r="N48" s="27" t="s">
        <v>124</v>
      </c>
      <c r="O48" s="27" t="s">
        <v>120</v>
      </c>
      <c r="P48" s="70"/>
      <c r="Q48" s="70"/>
      <c r="R48" s="117"/>
      <c r="S48" s="22"/>
      <c r="T48" s="107"/>
      <c r="U48" s="107"/>
      <c r="V48" s="22" t="s">
        <v>117</v>
      </c>
      <c r="W48" s="22"/>
      <c r="X48" s="22"/>
      <c r="Y48" s="22"/>
      <c r="Z48" s="601"/>
      <c r="AA48" s="602"/>
    </row>
    <row r="49" spans="1:27" ht="13.2" customHeight="1" x14ac:dyDescent="0.25">
      <c r="A49" s="655"/>
      <c r="B49" s="655"/>
      <c r="C49" s="651"/>
      <c r="D49" s="607"/>
      <c r="E49" s="607"/>
      <c r="F49" s="656"/>
      <c r="G49" s="657"/>
      <c r="H49" s="607"/>
      <c r="I49" s="607"/>
      <c r="J49" s="658"/>
      <c r="K49" s="136" t="s">
        <v>375</v>
      </c>
      <c r="L49" s="137" t="s">
        <v>375</v>
      </c>
      <c r="M49" s="27" t="s">
        <v>123</v>
      </c>
      <c r="N49" s="27" t="s">
        <v>124</v>
      </c>
      <c r="O49" s="27" t="s">
        <v>120</v>
      </c>
      <c r="P49" s="70"/>
      <c r="Q49" s="70"/>
      <c r="R49" s="117"/>
      <c r="S49" s="22"/>
      <c r="T49" s="107"/>
      <c r="U49" s="107"/>
      <c r="V49" s="22" t="s">
        <v>117</v>
      </c>
      <c r="W49" s="22"/>
      <c r="X49" s="22"/>
      <c r="Y49" s="22"/>
      <c r="Z49" s="601"/>
      <c r="AA49" s="602"/>
    </row>
    <row r="50" spans="1:27" ht="13.2" customHeight="1" x14ac:dyDescent="0.25">
      <c r="A50" s="655">
        <v>19</v>
      </c>
      <c r="B50" s="655" t="s">
        <v>377</v>
      </c>
      <c r="C50" s="651" t="s">
        <v>315</v>
      </c>
      <c r="D50" s="607" t="s">
        <v>89</v>
      </c>
      <c r="E50" s="607" t="s">
        <v>19</v>
      </c>
      <c r="F50" s="148">
        <v>5.2</v>
      </c>
      <c r="G50" s="149">
        <v>7.86</v>
      </c>
      <c r="H50" s="607" t="s">
        <v>378</v>
      </c>
      <c r="I50" s="607" t="s">
        <v>317</v>
      </c>
      <c r="J50" s="138">
        <v>44959</v>
      </c>
      <c r="K50" s="136" t="s">
        <v>379</v>
      </c>
      <c r="L50" s="137">
        <v>36.759300000000003</v>
      </c>
      <c r="M50" s="17" t="s">
        <v>2</v>
      </c>
      <c r="N50" s="17" t="s">
        <v>4</v>
      </c>
      <c r="O50" s="17" t="s">
        <v>4</v>
      </c>
      <c r="P50" s="70">
        <v>36.814</v>
      </c>
      <c r="Q50" s="70">
        <v>36.679000000000002</v>
      </c>
      <c r="R50" s="117">
        <v>45898</v>
      </c>
      <c r="S50" s="22">
        <f t="shared" si="25"/>
        <v>939</v>
      </c>
      <c r="T50" s="107">
        <f t="shared" si="26"/>
        <v>8.0300000000001148E-2</v>
      </c>
      <c r="U50" s="107">
        <f t="shared" si="27"/>
        <v>7.0300000000001153E-2</v>
      </c>
      <c r="V50" s="22">
        <f t="shared" si="28"/>
        <v>4.0792851096366135E-2</v>
      </c>
      <c r="W50" s="22" t="s">
        <v>117</v>
      </c>
      <c r="X50" s="22"/>
      <c r="Y50" s="22"/>
      <c r="Z50" s="601"/>
      <c r="AA50" s="602"/>
    </row>
    <row r="51" spans="1:27" ht="13.2" customHeight="1" x14ac:dyDescent="0.25">
      <c r="A51" s="655"/>
      <c r="B51" s="655"/>
      <c r="C51" s="651"/>
      <c r="D51" s="607"/>
      <c r="E51" s="607"/>
      <c r="F51" s="148">
        <v>5.2</v>
      </c>
      <c r="G51" s="149">
        <v>7.86</v>
      </c>
      <c r="H51" s="607"/>
      <c r="I51" s="607"/>
      <c r="J51" s="138">
        <v>44959</v>
      </c>
      <c r="K51" s="136" t="s">
        <v>380</v>
      </c>
      <c r="L51" s="137">
        <v>36.958399999999997</v>
      </c>
      <c r="M51" s="17" t="s">
        <v>2</v>
      </c>
      <c r="N51" s="17" t="s">
        <v>4</v>
      </c>
      <c r="O51" s="17" t="s">
        <v>4</v>
      </c>
      <c r="P51" s="70">
        <v>37.014000000000003</v>
      </c>
      <c r="Q51" s="70">
        <v>36.872999999999998</v>
      </c>
      <c r="R51" s="117">
        <v>45898</v>
      </c>
      <c r="S51" s="22">
        <f t="shared" si="25"/>
        <v>939</v>
      </c>
      <c r="T51" s="107">
        <f t="shared" si="26"/>
        <v>8.539999999999992E-2</v>
      </c>
      <c r="U51" s="107">
        <f t="shared" si="27"/>
        <v>7.5399999999999925E-2</v>
      </c>
      <c r="V51" s="22">
        <f t="shared" si="28"/>
        <v>4.3752218672346417E-2</v>
      </c>
      <c r="W51" s="22" t="s">
        <v>117</v>
      </c>
      <c r="X51" s="22"/>
      <c r="Y51" s="22"/>
      <c r="Z51" s="601"/>
      <c r="AA51" s="602"/>
    </row>
    <row r="52" spans="1:27" ht="13.2" customHeight="1" x14ac:dyDescent="0.25">
      <c r="A52" s="655">
        <v>20</v>
      </c>
      <c r="B52" s="655" t="s">
        <v>381</v>
      </c>
      <c r="C52" s="651" t="s">
        <v>315</v>
      </c>
      <c r="D52" s="607" t="s">
        <v>375</v>
      </c>
      <c r="E52" s="607" t="s">
        <v>375</v>
      </c>
      <c r="F52" s="656" t="s">
        <v>375</v>
      </c>
      <c r="G52" s="657" t="s">
        <v>375</v>
      </c>
      <c r="H52" s="607" t="s">
        <v>375</v>
      </c>
      <c r="I52" s="607" t="s">
        <v>375</v>
      </c>
      <c r="J52" s="658" t="s">
        <v>375</v>
      </c>
      <c r="K52" s="136" t="s">
        <v>375</v>
      </c>
      <c r="L52" s="137" t="s">
        <v>375</v>
      </c>
      <c r="M52" s="27" t="s">
        <v>123</v>
      </c>
      <c r="N52" s="27" t="s">
        <v>124</v>
      </c>
      <c r="O52" s="27" t="s">
        <v>120</v>
      </c>
      <c r="P52" s="70"/>
      <c r="Q52" s="70"/>
      <c r="R52" s="117"/>
      <c r="S52" s="22"/>
      <c r="T52" s="107"/>
      <c r="U52" s="107"/>
      <c r="V52" s="22" t="s">
        <v>117</v>
      </c>
      <c r="W52" s="22"/>
      <c r="X52" s="22"/>
      <c r="Y52" s="22"/>
      <c r="Z52" s="601"/>
      <c r="AA52" s="602"/>
    </row>
    <row r="53" spans="1:27" ht="13.2" customHeight="1" x14ac:dyDescent="0.25">
      <c r="A53" s="655"/>
      <c r="B53" s="655"/>
      <c r="C53" s="651"/>
      <c r="D53" s="607"/>
      <c r="E53" s="607"/>
      <c r="F53" s="656"/>
      <c r="G53" s="657"/>
      <c r="H53" s="607"/>
      <c r="I53" s="607"/>
      <c r="J53" s="658"/>
      <c r="K53" s="136" t="s">
        <v>375</v>
      </c>
      <c r="L53" s="137" t="s">
        <v>375</v>
      </c>
      <c r="M53" s="27" t="s">
        <v>123</v>
      </c>
      <c r="N53" s="27" t="s">
        <v>124</v>
      </c>
      <c r="O53" s="27" t="s">
        <v>120</v>
      </c>
      <c r="P53" s="70"/>
      <c r="Q53" s="70"/>
      <c r="R53" s="117"/>
      <c r="S53" s="22"/>
      <c r="T53" s="107"/>
      <c r="U53" s="107"/>
      <c r="V53" s="22" t="s">
        <v>117</v>
      </c>
      <c r="W53" s="22"/>
      <c r="X53" s="22"/>
      <c r="Y53" s="22"/>
      <c r="Z53" s="601"/>
      <c r="AA53" s="602"/>
    </row>
    <row r="54" spans="1:27" ht="13.2" customHeight="1" x14ac:dyDescent="0.25">
      <c r="A54" s="655">
        <v>21</v>
      </c>
      <c r="B54" s="655" t="s">
        <v>382</v>
      </c>
      <c r="C54" s="651" t="s">
        <v>315</v>
      </c>
      <c r="D54" s="607" t="s">
        <v>375</v>
      </c>
      <c r="E54" s="607" t="s">
        <v>375</v>
      </c>
      <c r="F54" s="656" t="s">
        <v>375</v>
      </c>
      <c r="G54" s="657" t="s">
        <v>375</v>
      </c>
      <c r="H54" s="607" t="s">
        <v>375</v>
      </c>
      <c r="I54" s="607" t="s">
        <v>375</v>
      </c>
      <c r="J54" s="658" t="s">
        <v>375</v>
      </c>
      <c r="K54" s="136" t="s">
        <v>375</v>
      </c>
      <c r="L54" s="137" t="s">
        <v>375</v>
      </c>
      <c r="M54" s="27" t="s">
        <v>123</v>
      </c>
      <c r="N54" s="27" t="s">
        <v>124</v>
      </c>
      <c r="O54" s="27" t="s">
        <v>120</v>
      </c>
      <c r="P54" s="70"/>
      <c r="Q54" s="70"/>
      <c r="R54" s="117"/>
      <c r="S54" s="22"/>
      <c r="T54" s="107"/>
      <c r="U54" s="107"/>
      <c r="V54" s="22" t="s">
        <v>117</v>
      </c>
      <c r="W54" s="22"/>
      <c r="X54" s="22"/>
      <c r="Y54" s="22"/>
      <c r="Z54" s="601"/>
      <c r="AA54" s="602"/>
    </row>
    <row r="55" spans="1:27" ht="13.2" customHeight="1" x14ac:dyDescent="0.25">
      <c r="A55" s="655"/>
      <c r="B55" s="655"/>
      <c r="C55" s="651"/>
      <c r="D55" s="607"/>
      <c r="E55" s="607"/>
      <c r="F55" s="656"/>
      <c r="G55" s="657"/>
      <c r="H55" s="607"/>
      <c r="I55" s="607"/>
      <c r="J55" s="658"/>
      <c r="K55" s="136" t="s">
        <v>375</v>
      </c>
      <c r="L55" s="137" t="s">
        <v>375</v>
      </c>
      <c r="M55" s="27" t="s">
        <v>123</v>
      </c>
      <c r="N55" s="27" t="s">
        <v>124</v>
      </c>
      <c r="O55" s="27" t="s">
        <v>120</v>
      </c>
      <c r="P55" s="70"/>
      <c r="Q55" s="70"/>
      <c r="R55" s="117"/>
      <c r="S55" s="22"/>
      <c r="T55" s="107"/>
      <c r="U55" s="107"/>
      <c r="V55" s="22" t="s">
        <v>117</v>
      </c>
      <c r="W55" s="22"/>
      <c r="X55" s="22"/>
      <c r="Y55" s="22"/>
      <c r="Z55" s="601"/>
      <c r="AA55" s="602"/>
    </row>
    <row r="56" spans="1:27" ht="13.2" customHeight="1" x14ac:dyDescent="0.25">
      <c r="A56" s="655">
        <v>22</v>
      </c>
      <c r="B56" s="655" t="s">
        <v>383</v>
      </c>
      <c r="C56" s="651" t="s">
        <v>315</v>
      </c>
      <c r="D56" s="607" t="s">
        <v>375</v>
      </c>
      <c r="E56" s="607" t="s">
        <v>375</v>
      </c>
      <c r="F56" s="656" t="s">
        <v>375</v>
      </c>
      <c r="G56" s="657" t="s">
        <v>375</v>
      </c>
      <c r="H56" s="607" t="s">
        <v>375</v>
      </c>
      <c r="I56" s="607" t="s">
        <v>375</v>
      </c>
      <c r="J56" s="658" t="s">
        <v>375</v>
      </c>
      <c r="K56" s="136" t="s">
        <v>375</v>
      </c>
      <c r="L56" s="137" t="s">
        <v>375</v>
      </c>
      <c r="M56" s="27" t="s">
        <v>123</v>
      </c>
      <c r="N56" s="27" t="s">
        <v>124</v>
      </c>
      <c r="O56" s="27" t="s">
        <v>120</v>
      </c>
      <c r="P56" s="70"/>
      <c r="Q56" s="70"/>
      <c r="R56" s="117"/>
      <c r="S56" s="22"/>
      <c r="T56" s="107"/>
      <c r="U56" s="107"/>
      <c r="V56" s="22" t="s">
        <v>117</v>
      </c>
      <c r="W56" s="22"/>
      <c r="X56" s="22"/>
      <c r="Y56" s="22"/>
      <c r="Z56" s="601"/>
      <c r="AA56" s="602"/>
    </row>
    <row r="57" spans="1:27" ht="13.2" customHeight="1" x14ac:dyDescent="0.25">
      <c r="A57" s="655"/>
      <c r="B57" s="655"/>
      <c r="C57" s="651"/>
      <c r="D57" s="607"/>
      <c r="E57" s="607"/>
      <c r="F57" s="656"/>
      <c r="G57" s="657"/>
      <c r="H57" s="607"/>
      <c r="I57" s="607"/>
      <c r="J57" s="658"/>
      <c r="K57" s="136" t="s">
        <v>375</v>
      </c>
      <c r="L57" s="137" t="s">
        <v>375</v>
      </c>
      <c r="M57" s="27" t="s">
        <v>123</v>
      </c>
      <c r="N57" s="27" t="s">
        <v>124</v>
      </c>
      <c r="O57" s="27" t="s">
        <v>120</v>
      </c>
      <c r="P57" s="70"/>
      <c r="Q57" s="70"/>
      <c r="R57" s="117"/>
      <c r="S57" s="22"/>
      <c r="T57" s="107"/>
      <c r="U57" s="107"/>
      <c r="V57" s="22" t="s">
        <v>117</v>
      </c>
      <c r="W57" s="22"/>
      <c r="X57" s="22"/>
      <c r="Y57" s="22"/>
      <c r="Z57" s="601"/>
      <c r="AA57" s="602"/>
    </row>
    <row r="58" spans="1:27" ht="13.2" customHeight="1" x14ac:dyDescent="0.25">
      <c r="A58" s="655">
        <v>23</v>
      </c>
      <c r="B58" s="655" t="s">
        <v>384</v>
      </c>
      <c r="C58" s="651" t="s">
        <v>310</v>
      </c>
      <c r="D58" s="607" t="s">
        <v>89</v>
      </c>
      <c r="E58" s="607" t="s">
        <v>19</v>
      </c>
      <c r="F58" s="148">
        <v>5.2</v>
      </c>
      <c r="G58" s="149">
        <v>7.86</v>
      </c>
      <c r="H58" s="607" t="s">
        <v>219</v>
      </c>
      <c r="I58" s="607" t="s">
        <v>14</v>
      </c>
      <c r="J58" s="138">
        <v>44960</v>
      </c>
      <c r="K58" s="136" t="s">
        <v>385</v>
      </c>
      <c r="L58" s="137">
        <v>36.949100000000001</v>
      </c>
      <c r="M58" s="27" t="s">
        <v>123</v>
      </c>
      <c r="N58" s="27" t="s">
        <v>124</v>
      </c>
      <c r="O58" s="27" t="s">
        <v>120</v>
      </c>
      <c r="P58" s="70"/>
      <c r="Q58" s="70"/>
      <c r="R58" s="117"/>
      <c r="S58" s="22"/>
      <c r="T58" s="107"/>
      <c r="U58" s="107"/>
      <c r="V58" s="22" t="s">
        <v>117</v>
      </c>
      <c r="W58" s="22"/>
      <c r="X58" s="22"/>
      <c r="Y58" s="22"/>
      <c r="Z58" s="601"/>
      <c r="AA58" s="602"/>
    </row>
    <row r="59" spans="1:27" ht="13.2" customHeight="1" x14ac:dyDescent="0.25">
      <c r="A59" s="655"/>
      <c r="B59" s="655"/>
      <c r="C59" s="651"/>
      <c r="D59" s="607"/>
      <c r="E59" s="607"/>
      <c r="F59" s="148">
        <v>5.2</v>
      </c>
      <c r="G59" s="149">
        <v>7.86</v>
      </c>
      <c r="H59" s="607"/>
      <c r="I59" s="607"/>
      <c r="J59" s="138">
        <v>44960</v>
      </c>
      <c r="K59" s="136" t="s">
        <v>386</v>
      </c>
      <c r="L59" s="137">
        <v>36.661200000000001</v>
      </c>
      <c r="M59" s="27" t="s">
        <v>123</v>
      </c>
      <c r="N59" s="27" t="s">
        <v>124</v>
      </c>
      <c r="O59" s="27" t="s">
        <v>120</v>
      </c>
      <c r="P59" s="70"/>
      <c r="Q59" s="70"/>
      <c r="R59" s="117"/>
      <c r="S59" s="22"/>
      <c r="T59" s="107"/>
      <c r="U59" s="107"/>
      <c r="V59" s="22" t="s">
        <v>117</v>
      </c>
      <c r="W59" s="22"/>
      <c r="X59" s="22"/>
      <c r="Y59" s="22"/>
      <c r="Z59" s="601"/>
      <c r="AA59" s="602"/>
    </row>
    <row r="60" spans="1:27" ht="13.2" customHeight="1" x14ac:dyDescent="0.25">
      <c r="A60" s="655">
        <v>24</v>
      </c>
      <c r="B60" s="655" t="s">
        <v>387</v>
      </c>
      <c r="C60" s="651" t="s">
        <v>310</v>
      </c>
      <c r="D60" s="607" t="s">
        <v>375</v>
      </c>
      <c r="E60" s="607" t="s">
        <v>375</v>
      </c>
      <c r="F60" s="656" t="s">
        <v>375</v>
      </c>
      <c r="G60" s="657" t="s">
        <v>375</v>
      </c>
      <c r="H60" s="607" t="s">
        <v>375</v>
      </c>
      <c r="I60" s="607" t="s">
        <v>375</v>
      </c>
      <c r="J60" s="658" t="s">
        <v>375</v>
      </c>
      <c r="K60" s="136" t="s">
        <v>375</v>
      </c>
      <c r="L60" s="137" t="s">
        <v>375</v>
      </c>
      <c r="M60" s="27" t="s">
        <v>123</v>
      </c>
      <c r="N60" s="27" t="s">
        <v>124</v>
      </c>
      <c r="O60" s="27" t="s">
        <v>120</v>
      </c>
      <c r="P60" s="70"/>
      <c r="Q60" s="70"/>
      <c r="R60" s="117"/>
      <c r="S60" s="22"/>
      <c r="T60" s="107"/>
      <c r="U60" s="107"/>
      <c r="V60" s="22" t="s">
        <v>117</v>
      </c>
      <c r="W60" s="22"/>
      <c r="X60" s="22"/>
      <c r="Y60" s="22"/>
      <c r="Z60" s="601"/>
      <c r="AA60" s="602"/>
    </row>
    <row r="61" spans="1:27" ht="13.8" customHeight="1" x14ac:dyDescent="0.25">
      <c r="A61" s="655"/>
      <c r="B61" s="655"/>
      <c r="C61" s="651"/>
      <c r="D61" s="607"/>
      <c r="E61" s="607"/>
      <c r="F61" s="656"/>
      <c r="G61" s="657"/>
      <c r="H61" s="607"/>
      <c r="I61" s="607"/>
      <c r="J61" s="658"/>
      <c r="K61" s="136" t="s">
        <v>375</v>
      </c>
      <c r="L61" s="137" t="s">
        <v>375</v>
      </c>
      <c r="M61" s="27" t="s">
        <v>123</v>
      </c>
      <c r="N61" s="27" t="s">
        <v>124</v>
      </c>
      <c r="O61" s="27" t="s">
        <v>120</v>
      </c>
      <c r="P61" s="70"/>
      <c r="Q61" s="70"/>
      <c r="R61" s="117"/>
      <c r="S61" s="22"/>
      <c r="T61" s="107"/>
      <c r="U61" s="107"/>
      <c r="V61" s="22" t="s">
        <v>117</v>
      </c>
      <c r="W61" s="22"/>
      <c r="X61" s="22"/>
      <c r="Y61" s="22"/>
      <c r="Z61" s="601"/>
      <c r="AA61" s="602"/>
    </row>
    <row r="62" spans="1:27" ht="13.2" customHeight="1" x14ac:dyDescent="0.25">
      <c r="A62" s="655">
        <v>25</v>
      </c>
      <c r="B62" s="655" t="s">
        <v>388</v>
      </c>
      <c r="C62" s="651" t="s">
        <v>310</v>
      </c>
      <c r="D62" s="607" t="s">
        <v>89</v>
      </c>
      <c r="E62" s="607" t="s">
        <v>19</v>
      </c>
      <c r="F62" s="148">
        <v>5.2</v>
      </c>
      <c r="G62" s="149">
        <v>7.86</v>
      </c>
      <c r="H62" s="607" t="s">
        <v>219</v>
      </c>
      <c r="I62" s="607" t="s">
        <v>14</v>
      </c>
      <c r="J62" s="138">
        <v>44960</v>
      </c>
      <c r="K62" s="136" t="s">
        <v>389</v>
      </c>
      <c r="L62" s="137">
        <v>37.015799999999999</v>
      </c>
      <c r="M62" s="17" t="s">
        <v>2</v>
      </c>
      <c r="N62" s="17" t="s">
        <v>4</v>
      </c>
      <c r="O62" s="17" t="s">
        <v>4</v>
      </c>
      <c r="P62" s="70">
        <v>37.113</v>
      </c>
      <c r="Q62" s="70">
        <v>36.927999999999997</v>
      </c>
      <c r="R62" s="117">
        <v>45897</v>
      </c>
      <c r="S62" s="22">
        <f t="shared" si="25"/>
        <v>937</v>
      </c>
      <c r="T62" s="107">
        <f t="shared" si="26"/>
        <v>8.7800000000001432E-2</v>
      </c>
      <c r="U62" s="107">
        <f t="shared" si="27"/>
        <v>7.7800000000001437E-2</v>
      </c>
      <c r="V62" s="22">
        <f t="shared" si="28"/>
        <v>4.524122266918508E-2</v>
      </c>
      <c r="W62" s="22" t="s">
        <v>117</v>
      </c>
      <c r="X62" s="22"/>
      <c r="Y62" s="22"/>
      <c r="Z62" s="601"/>
      <c r="AA62" s="602"/>
    </row>
    <row r="63" spans="1:27" ht="13.2" customHeight="1" x14ac:dyDescent="0.25">
      <c r="A63" s="655"/>
      <c r="B63" s="655"/>
      <c r="C63" s="651"/>
      <c r="D63" s="607"/>
      <c r="E63" s="607"/>
      <c r="F63" s="148">
        <v>5.2</v>
      </c>
      <c r="G63" s="149">
        <v>7.86</v>
      </c>
      <c r="H63" s="607"/>
      <c r="I63" s="607"/>
      <c r="J63" s="138">
        <v>44960</v>
      </c>
      <c r="K63" s="136" t="s">
        <v>390</v>
      </c>
      <c r="L63" s="137">
        <v>36.930199999999999</v>
      </c>
      <c r="M63" s="17" t="s">
        <v>2</v>
      </c>
      <c r="N63" s="17" t="s">
        <v>4</v>
      </c>
      <c r="O63" s="17" t="s">
        <v>4</v>
      </c>
      <c r="P63" s="70">
        <v>37.042000000000002</v>
      </c>
      <c r="Q63" s="70">
        <v>36.828000000000003</v>
      </c>
      <c r="R63" s="117">
        <v>45897</v>
      </c>
      <c r="S63" s="22">
        <f t="shared" si="25"/>
        <v>937</v>
      </c>
      <c r="T63" s="107">
        <f t="shared" si="26"/>
        <v>0.10219999999999629</v>
      </c>
      <c r="U63" s="107">
        <f t="shared" si="27"/>
        <v>9.2199999999996299E-2</v>
      </c>
      <c r="V63" s="22">
        <f t="shared" si="28"/>
        <v>5.3614919410007962E-2</v>
      </c>
      <c r="W63" s="22" t="s">
        <v>117</v>
      </c>
      <c r="X63" s="22"/>
      <c r="Y63" s="22"/>
      <c r="Z63" s="601"/>
      <c r="AA63" s="602"/>
    </row>
    <row r="64" spans="1:27" ht="13.2" customHeight="1" x14ac:dyDescent="0.25">
      <c r="A64" s="655">
        <v>26</v>
      </c>
      <c r="B64" s="655" t="s">
        <v>391</v>
      </c>
      <c r="C64" s="651" t="s">
        <v>310</v>
      </c>
      <c r="D64" s="607" t="s">
        <v>89</v>
      </c>
      <c r="E64" s="607" t="s">
        <v>19</v>
      </c>
      <c r="F64" s="148">
        <v>5.2</v>
      </c>
      <c r="G64" s="149">
        <v>7.86</v>
      </c>
      <c r="H64" s="607" t="s">
        <v>188</v>
      </c>
      <c r="I64" s="607" t="s">
        <v>14</v>
      </c>
      <c r="J64" s="138">
        <v>44960</v>
      </c>
      <c r="K64" s="136" t="s">
        <v>392</v>
      </c>
      <c r="L64" s="137">
        <v>36.924199999999999</v>
      </c>
      <c r="M64" s="17" t="s">
        <v>2</v>
      </c>
      <c r="N64" s="17" t="s">
        <v>4</v>
      </c>
      <c r="O64" s="17" t="s">
        <v>4</v>
      </c>
      <c r="P64" s="70">
        <v>37.037999999999997</v>
      </c>
      <c r="Q64" s="70">
        <v>36.828000000000003</v>
      </c>
      <c r="R64" s="117">
        <v>45897</v>
      </c>
      <c r="S64" s="22">
        <f t="shared" si="25"/>
        <v>937</v>
      </c>
      <c r="T64" s="107">
        <f t="shared" si="26"/>
        <v>9.6199999999996066E-2</v>
      </c>
      <c r="U64" s="107">
        <f t="shared" si="27"/>
        <v>8.6199999999996071E-2</v>
      </c>
      <c r="V64" s="22">
        <f t="shared" si="28"/>
        <v>5.012587910133038E-2</v>
      </c>
      <c r="W64" s="22" t="s">
        <v>117</v>
      </c>
      <c r="X64" s="22"/>
      <c r="Y64" s="22"/>
      <c r="Z64" s="601"/>
      <c r="AA64" s="602"/>
    </row>
    <row r="65" spans="1:27" ht="13.2" customHeight="1" x14ac:dyDescent="0.25">
      <c r="A65" s="655"/>
      <c r="B65" s="655"/>
      <c r="C65" s="651"/>
      <c r="D65" s="607"/>
      <c r="E65" s="607"/>
      <c r="F65" s="148">
        <v>5.2</v>
      </c>
      <c r="G65" s="149">
        <v>7.86</v>
      </c>
      <c r="H65" s="607"/>
      <c r="I65" s="607"/>
      <c r="J65" s="138">
        <v>44960</v>
      </c>
      <c r="K65" s="136" t="s">
        <v>393</v>
      </c>
      <c r="L65" s="137">
        <v>37.025199999999998</v>
      </c>
      <c r="M65" s="17" t="s">
        <v>2</v>
      </c>
      <c r="N65" s="17" t="s">
        <v>4</v>
      </c>
      <c r="O65" s="17" t="s">
        <v>4</v>
      </c>
      <c r="P65" s="70">
        <v>37.112000000000002</v>
      </c>
      <c r="Q65" s="70">
        <v>36.942999999999998</v>
      </c>
      <c r="R65" s="117">
        <v>45897</v>
      </c>
      <c r="S65" s="22">
        <f t="shared" si="25"/>
        <v>937</v>
      </c>
      <c r="T65" s="107">
        <f t="shared" si="26"/>
        <v>8.2200000000000273E-2</v>
      </c>
      <c r="U65" s="107">
        <f t="shared" si="27"/>
        <v>7.2200000000000278E-2</v>
      </c>
      <c r="V65" s="22">
        <f t="shared" si="28"/>
        <v>4.1984785047752118E-2</v>
      </c>
      <c r="W65" s="22" t="s">
        <v>117</v>
      </c>
      <c r="X65" s="22"/>
      <c r="Y65" s="22"/>
      <c r="Z65" s="601"/>
      <c r="AA65" s="602"/>
    </row>
    <row r="66" spans="1:27" ht="13.2" customHeight="1" x14ac:dyDescent="0.25">
      <c r="A66" s="655">
        <v>27</v>
      </c>
      <c r="B66" s="655" t="s">
        <v>394</v>
      </c>
      <c r="C66" s="651" t="s">
        <v>395</v>
      </c>
      <c r="D66" s="607" t="s">
        <v>89</v>
      </c>
      <c r="E66" s="607" t="s">
        <v>19</v>
      </c>
      <c r="F66" s="148">
        <v>5.2</v>
      </c>
      <c r="G66" s="149">
        <v>7.86</v>
      </c>
      <c r="H66" s="607" t="s">
        <v>219</v>
      </c>
      <c r="I66" s="607" t="s">
        <v>317</v>
      </c>
      <c r="J66" s="138">
        <v>44960</v>
      </c>
      <c r="K66" s="136" t="s">
        <v>396</v>
      </c>
      <c r="L66" s="137">
        <v>36.741300000000003</v>
      </c>
      <c r="M66" s="17" t="s">
        <v>2</v>
      </c>
      <c r="N66" s="17" t="s">
        <v>4</v>
      </c>
      <c r="O66" s="17" t="s">
        <v>4</v>
      </c>
      <c r="P66" s="70">
        <v>36.698</v>
      </c>
      <c r="Q66" s="70">
        <v>36.508000000000003</v>
      </c>
      <c r="R66" s="117">
        <v>45897</v>
      </c>
      <c r="S66" s="22">
        <f t="shared" si="25"/>
        <v>937</v>
      </c>
      <c r="T66" s="107">
        <f t="shared" si="26"/>
        <v>0.23329999999999984</v>
      </c>
      <c r="U66" s="107">
        <f t="shared" si="27"/>
        <v>0.22329999999999983</v>
      </c>
      <c r="V66" s="22">
        <f t="shared" si="28"/>
        <v>0.12985045015461225</v>
      </c>
      <c r="W66" s="22" t="s">
        <v>117</v>
      </c>
      <c r="X66" s="22"/>
      <c r="Y66" s="22"/>
      <c r="Z66" s="601"/>
      <c r="AA66" s="602"/>
    </row>
    <row r="67" spans="1:27" ht="13.2" customHeight="1" x14ac:dyDescent="0.25">
      <c r="A67" s="655"/>
      <c r="B67" s="655"/>
      <c r="C67" s="651"/>
      <c r="D67" s="607"/>
      <c r="E67" s="607"/>
      <c r="F67" s="148">
        <v>5.2</v>
      </c>
      <c r="G67" s="149">
        <v>7.86</v>
      </c>
      <c r="H67" s="607"/>
      <c r="I67" s="607"/>
      <c r="J67" s="138">
        <v>44960</v>
      </c>
      <c r="K67" s="136" t="s">
        <v>397</v>
      </c>
      <c r="L67" s="137">
        <v>37.948700000000002</v>
      </c>
      <c r="M67" s="17" t="s">
        <v>2</v>
      </c>
      <c r="N67" s="17" t="s">
        <v>4</v>
      </c>
      <c r="O67" s="17" t="s">
        <v>4</v>
      </c>
      <c r="P67" s="70">
        <v>36.982999999999997</v>
      </c>
      <c r="Q67" s="70">
        <v>36.723999999999997</v>
      </c>
      <c r="R67" s="117">
        <v>45897</v>
      </c>
      <c r="S67" s="22">
        <f t="shared" si="25"/>
        <v>937</v>
      </c>
      <c r="T67" s="107">
        <f t="shared" si="26"/>
        <v>1.2247000000000057</v>
      </c>
      <c r="U67" s="107">
        <f t="shared" si="27"/>
        <v>1.2147000000000057</v>
      </c>
      <c r="V67" s="22">
        <f t="shared" si="28"/>
        <v>0.70635621049175268</v>
      </c>
      <c r="W67" s="22" t="s">
        <v>117</v>
      </c>
      <c r="X67" s="22"/>
      <c r="Y67" s="22"/>
      <c r="Z67" s="601"/>
      <c r="AA67" s="602"/>
    </row>
    <row r="68" spans="1:27" ht="13.2" customHeight="1" x14ac:dyDescent="0.25">
      <c r="A68" s="655">
        <v>28</v>
      </c>
      <c r="B68" s="655" t="s">
        <v>398</v>
      </c>
      <c r="C68" s="651" t="s">
        <v>395</v>
      </c>
      <c r="D68" s="607" t="s">
        <v>375</v>
      </c>
      <c r="E68" s="607" t="s">
        <v>375</v>
      </c>
      <c r="F68" s="656" t="s">
        <v>375</v>
      </c>
      <c r="G68" s="657" t="s">
        <v>375</v>
      </c>
      <c r="H68" s="607" t="s">
        <v>375</v>
      </c>
      <c r="I68" s="607" t="s">
        <v>375</v>
      </c>
      <c r="J68" s="658" t="s">
        <v>375</v>
      </c>
      <c r="K68" s="136" t="s">
        <v>375</v>
      </c>
      <c r="L68" s="137" t="s">
        <v>375</v>
      </c>
      <c r="M68" s="27" t="s">
        <v>123</v>
      </c>
      <c r="N68" s="27" t="s">
        <v>124</v>
      </c>
      <c r="O68" s="27" t="s">
        <v>120</v>
      </c>
      <c r="P68" s="70"/>
      <c r="Q68" s="70"/>
      <c r="R68" s="117"/>
      <c r="S68" s="22"/>
      <c r="T68" s="107"/>
      <c r="U68" s="107"/>
      <c r="V68" s="22" t="s">
        <v>117</v>
      </c>
      <c r="W68" s="22"/>
      <c r="X68" s="22"/>
      <c r="Y68" s="22"/>
      <c r="Z68" s="601"/>
      <c r="AA68" s="602"/>
    </row>
    <row r="69" spans="1:27" ht="13.2" customHeight="1" x14ac:dyDescent="0.25">
      <c r="A69" s="655"/>
      <c r="B69" s="655"/>
      <c r="C69" s="651"/>
      <c r="D69" s="607"/>
      <c r="E69" s="607"/>
      <c r="F69" s="656"/>
      <c r="G69" s="657"/>
      <c r="H69" s="607"/>
      <c r="I69" s="607"/>
      <c r="J69" s="658"/>
      <c r="K69" s="136" t="s">
        <v>375</v>
      </c>
      <c r="L69" s="137" t="s">
        <v>375</v>
      </c>
      <c r="M69" s="27" t="s">
        <v>123</v>
      </c>
      <c r="N69" s="27" t="s">
        <v>124</v>
      </c>
      <c r="O69" s="27" t="s">
        <v>120</v>
      </c>
      <c r="P69" s="70"/>
      <c r="Q69" s="70"/>
      <c r="R69" s="117"/>
      <c r="S69" s="22"/>
      <c r="T69" s="107"/>
      <c r="U69" s="107"/>
      <c r="V69" s="22" t="s">
        <v>117</v>
      </c>
      <c r="W69" s="22"/>
      <c r="X69" s="22"/>
      <c r="Y69" s="22"/>
      <c r="Z69" s="601"/>
      <c r="AA69" s="602"/>
    </row>
    <row r="70" spans="1:27" ht="13.2" customHeight="1" x14ac:dyDescent="0.25">
      <c r="A70" s="655">
        <v>29</v>
      </c>
      <c r="B70" s="655" t="s">
        <v>399</v>
      </c>
      <c r="C70" s="651" t="s">
        <v>315</v>
      </c>
      <c r="D70" s="607" t="s">
        <v>375</v>
      </c>
      <c r="E70" s="607" t="s">
        <v>375</v>
      </c>
      <c r="F70" s="656" t="s">
        <v>375</v>
      </c>
      <c r="G70" s="657" t="s">
        <v>375</v>
      </c>
      <c r="H70" s="607" t="s">
        <v>375</v>
      </c>
      <c r="I70" s="607" t="s">
        <v>375</v>
      </c>
      <c r="J70" s="658" t="s">
        <v>375</v>
      </c>
      <c r="K70" s="136" t="s">
        <v>375</v>
      </c>
      <c r="L70" s="137" t="s">
        <v>375</v>
      </c>
      <c r="M70" s="27" t="s">
        <v>123</v>
      </c>
      <c r="N70" s="27" t="s">
        <v>124</v>
      </c>
      <c r="O70" s="27" t="s">
        <v>120</v>
      </c>
      <c r="P70" s="70"/>
      <c r="Q70" s="70"/>
      <c r="R70" s="117"/>
      <c r="S70" s="22"/>
      <c r="T70" s="107"/>
      <c r="U70" s="107"/>
      <c r="V70" s="22" t="s">
        <v>117</v>
      </c>
      <c r="W70" s="22"/>
      <c r="X70" s="22"/>
      <c r="Y70" s="22"/>
      <c r="Z70" s="601"/>
      <c r="AA70" s="602"/>
    </row>
    <row r="71" spans="1:27" ht="13.2" customHeight="1" x14ac:dyDescent="0.25">
      <c r="A71" s="655"/>
      <c r="B71" s="655"/>
      <c r="C71" s="651"/>
      <c r="D71" s="607"/>
      <c r="E71" s="607"/>
      <c r="F71" s="656"/>
      <c r="G71" s="657"/>
      <c r="H71" s="607"/>
      <c r="I71" s="607"/>
      <c r="J71" s="658"/>
      <c r="K71" s="136" t="s">
        <v>375</v>
      </c>
      <c r="L71" s="137" t="s">
        <v>375</v>
      </c>
      <c r="M71" s="27" t="s">
        <v>123</v>
      </c>
      <c r="N71" s="27" t="s">
        <v>124</v>
      </c>
      <c r="O71" s="27" t="s">
        <v>120</v>
      </c>
      <c r="P71" s="70"/>
      <c r="Q71" s="70"/>
      <c r="R71" s="117"/>
      <c r="S71" s="22"/>
      <c r="T71" s="107"/>
      <c r="U71" s="107"/>
      <c r="V71" s="22" t="s">
        <v>117</v>
      </c>
      <c r="W71" s="22"/>
      <c r="X71" s="22"/>
      <c r="Y71" s="22"/>
      <c r="Z71" s="601"/>
      <c r="AA71" s="602"/>
    </row>
    <row r="72" spans="1:27" ht="13.2" customHeight="1" x14ac:dyDescent="0.25">
      <c r="A72" s="655">
        <v>30</v>
      </c>
      <c r="B72" s="655" t="s">
        <v>400</v>
      </c>
      <c r="C72" s="651" t="s">
        <v>315</v>
      </c>
      <c r="D72" s="607" t="s">
        <v>375</v>
      </c>
      <c r="E72" s="607" t="s">
        <v>375</v>
      </c>
      <c r="F72" s="656" t="s">
        <v>375</v>
      </c>
      <c r="G72" s="657" t="s">
        <v>375</v>
      </c>
      <c r="H72" s="607" t="s">
        <v>375</v>
      </c>
      <c r="I72" s="607" t="s">
        <v>375</v>
      </c>
      <c r="J72" s="658" t="s">
        <v>375</v>
      </c>
      <c r="K72" s="136" t="s">
        <v>375</v>
      </c>
      <c r="L72" s="137" t="s">
        <v>375</v>
      </c>
      <c r="M72" s="27" t="s">
        <v>123</v>
      </c>
      <c r="N72" s="27" t="s">
        <v>124</v>
      </c>
      <c r="O72" s="27" t="s">
        <v>120</v>
      </c>
      <c r="P72" s="70"/>
      <c r="Q72" s="70"/>
      <c r="R72" s="117"/>
      <c r="S72" s="22"/>
      <c r="T72" s="107"/>
      <c r="U72" s="107"/>
      <c r="V72" s="22" t="s">
        <v>117</v>
      </c>
      <c r="W72" s="22"/>
      <c r="X72" s="22"/>
      <c r="Y72" s="22"/>
      <c r="Z72" s="601"/>
      <c r="AA72" s="602"/>
    </row>
    <row r="73" spans="1:27" ht="13.2" customHeight="1" x14ac:dyDescent="0.25">
      <c r="A73" s="655"/>
      <c r="B73" s="655"/>
      <c r="C73" s="651"/>
      <c r="D73" s="607"/>
      <c r="E73" s="607"/>
      <c r="F73" s="656"/>
      <c r="G73" s="657"/>
      <c r="H73" s="607"/>
      <c r="I73" s="607"/>
      <c r="J73" s="658"/>
      <c r="K73" s="136" t="s">
        <v>375</v>
      </c>
      <c r="L73" s="137" t="s">
        <v>375</v>
      </c>
      <c r="M73" s="27" t="s">
        <v>123</v>
      </c>
      <c r="N73" s="27" t="s">
        <v>124</v>
      </c>
      <c r="O73" s="27" t="s">
        <v>120</v>
      </c>
      <c r="P73" s="70"/>
      <c r="Q73" s="70"/>
      <c r="R73" s="117"/>
      <c r="S73" s="22"/>
      <c r="T73" s="107"/>
      <c r="U73" s="107"/>
      <c r="V73" s="22" t="s">
        <v>117</v>
      </c>
      <c r="W73" s="22"/>
      <c r="X73" s="22"/>
      <c r="Y73" s="22"/>
      <c r="Z73" s="601"/>
      <c r="AA73" s="602"/>
    </row>
    <row r="74" spans="1:27" ht="13.2" customHeight="1" x14ac:dyDescent="0.25">
      <c r="A74" s="655">
        <v>31</v>
      </c>
      <c r="B74" s="655" t="s">
        <v>401</v>
      </c>
      <c r="C74" s="651" t="s">
        <v>315</v>
      </c>
      <c r="D74" s="607" t="s">
        <v>89</v>
      </c>
      <c r="E74" s="607" t="s">
        <v>19</v>
      </c>
      <c r="F74" s="148">
        <v>5.2</v>
      </c>
      <c r="G74" s="149">
        <v>7.86</v>
      </c>
      <c r="H74" s="607" t="s">
        <v>188</v>
      </c>
      <c r="I74" s="607" t="s">
        <v>317</v>
      </c>
      <c r="J74" s="658">
        <v>44959</v>
      </c>
      <c r="K74" s="136" t="s">
        <v>402</v>
      </c>
      <c r="L74" s="137">
        <v>36.922899999999998</v>
      </c>
      <c r="M74" s="27" t="s">
        <v>123</v>
      </c>
      <c r="N74" s="27" t="s">
        <v>124</v>
      </c>
      <c r="O74" s="27" t="s">
        <v>120</v>
      </c>
      <c r="P74" s="70"/>
      <c r="Q74" s="70"/>
      <c r="R74" s="117"/>
      <c r="S74" s="22"/>
      <c r="T74" s="107"/>
      <c r="U74" s="107"/>
      <c r="V74" s="22" t="s">
        <v>117</v>
      </c>
      <c r="W74" s="22"/>
      <c r="X74" s="22"/>
      <c r="Y74" s="22"/>
      <c r="Z74" s="601"/>
      <c r="AA74" s="602"/>
    </row>
    <row r="75" spans="1:27" ht="13.8" customHeight="1" thickBot="1" x14ac:dyDescent="0.3">
      <c r="A75" s="653"/>
      <c r="B75" s="653"/>
      <c r="C75" s="654"/>
      <c r="D75" s="645"/>
      <c r="E75" s="645"/>
      <c r="F75" s="150">
        <v>5.2</v>
      </c>
      <c r="G75" s="151">
        <v>7.86</v>
      </c>
      <c r="H75" s="645"/>
      <c r="I75" s="645"/>
      <c r="J75" s="659"/>
      <c r="K75" s="140" t="s">
        <v>403</v>
      </c>
      <c r="L75" s="142">
        <v>36.974600000000002</v>
      </c>
      <c r="M75" s="80" t="s">
        <v>123</v>
      </c>
      <c r="N75" s="80" t="s">
        <v>124</v>
      </c>
      <c r="O75" s="80" t="s">
        <v>120</v>
      </c>
      <c r="P75" s="74"/>
      <c r="Q75" s="74"/>
      <c r="R75" s="118"/>
      <c r="S75" s="76"/>
      <c r="T75" s="108"/>
      <c r="U75" s="108"/>
      <c r="V75" s="76" t="s">
        <v>117</v>
      </c>
      <c r="W75" s="76"/>
      <c r="X75" s="76"/>
      <c r="Y75" s="76"/>
      <c r="Z75" s="601"/>
      <c r="AA75" s="602"/>
    </row>
    <row r="76" spans="1:27" ht="14.4" thickBot="1" x14ac:dyDescent="0.3">
      <c r="A76" s="603" t="s">
        <v>404</v>
      </c>
      <c r="B76" s="604"/>
      <c r="C76" s="604"/>
      <c r="D76" s="604"/>
      <c r="E76" s="604"/>
      <c r="F76" s="604"/>
      <c r="G76" s="604"/>
      <c r="H76" s="604"/>
      <c r="I76" s="604"/>
      <c r="J76" s="604"/>
      <c r="K76" s="604"/>
      <c r="L76" s="604"/>
      <c r="M76" s="604"/>
      <c r="N76" s="604"/>
      <c r="O76" s="604"/>
      <c r="P76" s="604"/>
      <c r="Q76" s="604"/>
      <c r="R76" s="604"/>
      <c r="S76" s="604"/>
      <c r="T76" s="604"/>
      <c r="U76" s="604"/>
      <c r="V76" s="604"/>
      <c r="W76" s="604"/>
      <c r="X76" s="604"/>
      <c r="Y76" s="604"/>
      <c r="Z76" s="604"/>
      <c r="AA76" s="605"/>
    </row>
    <row r="77" spans="1:27" ht="13.2" customHeight="1" x14ac:dyDescent="0.25">
      <c r="A77" s="652">
        <v>32</v>
      </c>
      <c r="B77" s="652" t="s">
        <v>405</v>
      </c>
      <c r="C77" s="650" t="s">
        <v>310</v>
      </c>
      <c r="D77" s="606" t="s">
        <v>89</v>
      </c>
      <c r="E77" s="606" t="s">
        <v>19</v>
      </c>
      <c r="F77" s="144">
        <v>5.2</v>
      </c>
      <c r="G77" s="145">
        <v>7.86</v>
      </c>
      <c r="H77" s="606" t="s">
        <v>406</v>
      </c>
      <c r="I77" s="606" t="s">
        <v>271</v>
      </c>
      <c r="J77" s="146">
        <v>44958</v>
      </c>
      <c r="K77" s="144" t="s">
        <v>407</v>
      </c>
      <c r="L77" s="135">
        <v>36.9754</v>
      </c>
      <c r="M77" s="67" t="s">
        <v>2</v>
      </c>
      <c r="N77" s="67" t="s">
        <v>4</v>
      </c>
      <c r="O77" s="67" t="s">
        <v>4</v>
      </c>
      <c r="P77" s="77">
        <v>37.036999999999999</v>
      </c>
      <c r="Q77" s="77">
        <v>36.85</v>
      </c>
      <c r="R77" s="116">
        <v>45896</v>
      </c>
      <c r="S77" s="9">
        <f t="shared" ref="S77:S80" si="29">R77-J77</f>
        <v>938</v>
      </c>
      <c r="T77" s="109">
        <f t="shared" ref="T77:T80" si="30">L77-Q77</f>
        <v>0.12539999999999907</v>
      </c>
      <c r="U77" s="109">
        <f t="shared" ref="U77:U80" si="31">T77-0.01</f>
        <v>0.11539999999999907</v>
      </c>
      <c r="V77" s="9">
        <f t="shared" ref="V77:V80" si="32">(U77*22270)/(S77*G77*F77)</f>
        <v>6.7034333825378059E-2</v>
      </c>
      <c r="W77" s="9" t="s">
        <v>117</v>
      </c>
      <c r="X77" s="9"/>
      <c r="Y77" s="9"/>
      <c r="Z77" s="601"/>
      <c r="AA77" s="602"/>
    </row>
    <row r="78" spans="1:27" ht="13.2" customHeight="1" x14ac:dyDescent="0.25">
      <c r="A78" s="655"/>
      <c r="B78" s="655"/>
      <c r="C78" s="651"/>
      <c r="D78" s="607"/>
      <c r="E78" s="607"/>
      <c r="F78" s="148">
        <v>5.2</v>
      </c>
      <c r="G78" s="149">
        <v>7.86</v>
      </c>
      <c r="H78" s="607"/>
      <c r="I78" s="607"/>
      <c r="J78" s="138">
        <v>44958</v>
      </c>
      <c r="K78" s="148" t="s">
        <v>408</v>
      </c>
      <c r="L78" s="137">
        <v>36.766500000000001</v>
      </c>
      <c r="M78" s="17" t="s">
        <v>2</v>
      </c>
      <c r="N78" s="17" t="s">
        <v>4</v>
      </c>
      <c r="O78" s="17" t="s">
        <v>4</v>
      </c>
      <c r="P78" s="70">
        <v>36.887</v>
      </c>
      <c r="Q78" s="70">
        <v>36.679000000000002</v>
      </c>
      <c r="R78" s="117">
        <v>45896</v>
      </c>
      <c r="S78" s="22">
        <f t="shared" si="29"/>
        <v>938</v>
      </c>
      <c r="T78" s="107">
        <f t="shared" si="30"/>
        <v>8.7499999999998579E-2</v>
      </c>
      <c r="U78" s="107">
        <f t="shared" si="31"/>
        <v>7.7499999999998584E-2</v>
      </c>
      <c r="V78" s="22">
        <f t="shared" si="32"/>
        <v>4.501872505603767E-2</v>
      </c>
      <c r="W78" s="22" t="s">
        <v>117</v>
      </c>
      <c r="X78" s="22"/>
      <c r="Y78" s="22"/>
      <c r="Z78" s="601"/>
      <c r="AA78" s="602"/>
    </row>
    <row r="79" spans="1:27" ht="13.2" customHeight="1" x14ac:dyDescent="0.25">
      <c r="A79" s="655">
        <v>33</v>
      </c>
      <c r="B79" s="655" t="s">
        <v>409</v>
      </c>
      <c r="C79" s="651" t="s">
        <v>310</v>
      </c>
      <c r="D79" s="607" t="s">
        <v>89</v>
      </c>
      <c r="E79" s="607" t="s">
        <v>19</v>
      </c>
      <c r="F79" s="148">
        <v>5.2</v>
      </c>
      <c r="G79" s="149">
        <v>7.86</v>
      </c>
      <c r="H79" s="607" t="s">
        <v>219</v>
      </c>
      <c r="I79" s="607" t="s">
        <v>14</v>
      </c>
      <c r="J79" s="138">
        <v>44958</v>
      </c>
      <c r="K79" s="148" t="s">
        <v>410</v>
      </c>
      <c r="L79" s="137">
        <v>36.917299999999997</v>
      </c>
      <c r="M79" s="17" t="s">
        <v>2</v>
      </c>
      <c r="N79" s="17" t="s">
        <v>4</v>
      </c>
      <c r="O79" s="17" t="s">
        <v>4</v>
      </c>
      <c r="P79" s="70">
        <v>36.761000000000003</v>
      </c>
      <c r="Q79" s="70">
        <v>36.497999999999998</v>
      </c>
      <c r="R79" s="117">
        <v>45896</v>
      </c>
      <c r="S79" s="22">
        <f t="shared" si="29"/>
        <v>938</v>
      </c>
      <c r="T79" s="107">
        <f t="shared" si="30"/>
        <v>0.41929999999999978</v>
      </c>
      <c r="U79" s="107">
        <f t="shared" si="31"/>
        <v>0.40929999999999978</v>
      </c>
      <c r="V79" s="22">
        <f t="shared" si="32"/>
        <v>0.23775695697337476</v>
      </c>
      <c r="W79" s="22" t="s">
        <v>117</v>
      </c>
      <c r="X79" s="22"/>
      <c r="Y79" s="22"/>
      <c r="Z79" s="601"/>
      <c r="AA79" s="602"/>
    </row>
    <row r="80" spans="1:27" ht="13.8" customHeight="1" thickBot="1" x14ac:dyDescent="0.3">
      <c r="A80" s="653"/>
      <c r="B80" s="653"/>
      <c r="C80" s="654"/>
      <c r="D80" s="645"/>
      <c r="E80" s="645"/>
      <c r="F80" s="150">
        <v>5.2</v>
      </c>
      <c r="G80" s="151">
        <v>7.86</v>
      </c>
      <c r="H80" s="645"/>
      <c r="I80" s="645"/>
      <c r="J80" s="141">
        <v>44958</v>
      </c>
      <c r="K80" s="150" t="s">
        <v>411</v>
      </c>
      <c r="L80" s="142">
        <v>37.0122</v>
      </c>
      <c r="M80" s="42" t="s">
        <v>2</v>
      </c>
      <c r="N80" s="42" t="s">
        <v>4</v>
      </c>
      <c r="O80" s="42" t="s">
        <v>4</v>
      </c>
      <c r="P80" s="74">
        <v>36.853999999999999</v>
      </c>
      <c r="Q80" s="74">
        <v>36.606999999999999</v>
      </c>
      <c r="R80" s="118">
        <v>45896</v>
      </c>
      <c r="S80" s="76">
        <f t="shared" si="29"/>
        <v>938</v>
      </c>
      <c r="T80" s="108">
        <f t="shared" si="30"/>
        <v>0.40520000000000067</v>
      </c>
      <c r="U80" s="108">
        <f t="shared" si="31"/>
        <v>0.39520000000000066</v>
      </c>
      <c r="V80" s="76">
        <f t="shared" si="32"/>
        <v>0.22956645344705082</v>
      </c>
      <c r="W80" s="76" t="s">
        <v>117</v>
      </c>
      <c r="X80" s="76"/>
      <c r="Y80" s="76"/>
      <c r="Z80" s="601"/>
      <c r="AA80" s="602"/>
    </row>
    <row r="81" spans="1:27" ht="14.4" thickBot="1" x14ac:dyDescent="0.3">
      <c r="A81" s="603" t="s">
        <v>412</v>
      </c>
      <c r="B81" s="604"/>
      <c r="C81" s="604"/>
      <c r="D81" s="604"/>
      <c r="E81" s="604"/>
      <c r="F81" s="604"/>
      <c r="G81" s="604"/>
      <c r="H81" s="604"/>
      <c r="I81" s="604"/>
      <c r="J81" s="604"/>
      <c r="K81" s="604"/>
      <c r="L81" s="604"/>
      <c r="M81" s="604"/>
      <c r="N81" s="604"/>
      <c r="O81" s="604"/>
      <c r="P81" s="604"/>
      <c r="Q81" s="604"/>
      <c r="R81" s="604"/>
      <c r="S81" s="604"/>
      <c r="T81" s="604"/>
      <c r="U81" s="604"/>
      <c r="V81" s="604"/>
      <c r="W81" s="604"/>
      <c r="X81" s="604"/>
      <c r="Y81" s="604"/>
      <c r="Z81" s="604"/>
      <c r="AA81" s="605"/>
    </row>
    <row r="82" spans="1:27" ht="13.2" customHeight="1" x14ac:dyDescent="0.25">
      <c r="A82" s="652">
        <v>34</v>
      </c>
      <c r="B82" s="652" t="s">
        <v>413</v>
      </c>
      <c r="C82" s="650" t="s">
        <v>310</v>
      </c>
      <c r="D82" s="606" t="s">
        <v>89</v>
      </c>
      <c r="E82" s="606" t="s">
        <v>19</v>
      </c>
      <c r="F82" s="144">
        <v>5.2</v>
      </c>
      <c r="G82" s="145">
        <v>7.86</v>
      </c>
      <c r="H82" s="606" t="s">
        <v>325</v>
      </c>
      <c r="I82" s="606" t="s">
        <v>14</v>
      </c>
      <c r="J82" s="146">
        <v>44966</v>
      </c>
      <c r="K82" s="134" t="s">
        <v>414</v>
      </c>
      <c r="L82" s="135">
        <v>36.947299999999998</v>
      </c>
      <c r="M82" s="67" t="s">
        <v>2</v>
      </c>
      <c r="N82" s="67" t="s">
        <v>4</v>
      </c>
      <c r="O82" s="67" t="s">
        <v>4</v>
      </c>
      <c r="P82" s="77">
        <v>36.948</v>
      </c>
      <c r="Q82" s="77">
        <v>36.902999999999999</v>
      </c>
      <c r="R82" s="116">
        <v>45904</v>
      </c>
      <c r="S82" s="9">
        <f t="shared" ref="S82:S85" si="33">R82-J82</f>
        <v>938</v>
      </c>
      <c r="T82" s="109">
        <f t="shared" ref="T82:T85" si="34">L82-Q82</f>
        <v>4.4299999999999784E-2</v>
      </c>
      <c r="U82" s="109">
        <f t="shared" ref="U82:U85" si="35">T82-0.01</f>
        <v>3.4299999999999782E-2</v>
      </c>
      <c r="V82" s="9">
        <f t="shared" ref="V82:V85" si="36">(U82*22270)/(S82*G82*F82)</f>
        <v>1.9924416379640132E-2</v>
      </c>
      <c r="W82" s="9" t="s">
        <v>117</v>
      </c>
      <c r="X82" s="9"/>
      <c r="Y82" s="9"/>
      <c r="Z82" s="601"/>
      <c r="AA82" s="602"/>
    </row>
    <row r="83" spans="1:27" ht="13.2" customHeight="1" x14ac:dyDescent="0.25">
      <c r="A83" s="655"/>
      <c r="B83" s="655"/>
      <c r="C83" s="651"/>
      <c r="D83" s="607"/>
      <c r="E83" s="607"/>
      <c r="F83" s="148">
        <v>5.2</v>
      </c>
      <c r="G83" s="149">
        <v>7.86</v>
      </c>
      <c r="H83" s="607"/>
      <c r="I83" s="607"/>
      <c r="J83" s="138">
        <v>44966</v>
      </c>
      <c r="K83" s="136" t="s">
        <v>415</v>
      </c>
      <c r="L83" s="137">
        <v>36.794899999999998</v>
      </c>
      <c r="M83" s="17" t="s">
        <v>2</v>
      </c>
      <c r="N83" s="17" t="s">
        <v>4</v>
      </c>
      <c r="O83" s="17" t="s">
        <v>4</v>
      </c>
      <c r="P83" s="70">
        <v>36.795000000000002</v>
      </c>
      <c r="Q83" s="70">
        <v>36.747999999999998</v>
      </c>
      <c r="R83" s="117">
        <v>45904</v>
      </c>
      <c r="S83" s="22">
        <f t="shared" si="33"/>
        <v>938</v>
      </c>
      <c r="T83" s="107">
        <f t="shared" si="34"/>
        <v>4.690000000000083E-2</v>
      </c>
      <c r="U83" s="107">
        <f t="shared" si="35"/>
        <v>3.6900000000000828E-2</v>
      </c>
      <c r="V83" s="22">
        <f t="shared" si="36"/>
        <v>2.1434721994423967E-2</v>
      </c>
      <c r="W83" s="22" t="s">
        <v>117</v>
      </c>
      <c r="X83" s="22"/>
      <c r="Y83" s="22"/>
      <c r="Z83" s="601"/>
      <c r="AA83" s="602"/>
    </row>
    <row r="84" spans="1:27" ht="13.2" customHeight="1" x14ac:dyDescent="0.25">
      <c r="A84" s="655">
        <v>35</v>
      </c>
      <c r="B84" s="655" t="s">
        <v>416</v>
      </c>
      <c r="C84" s="651" t="s">
        <v>310</v>
      </c>
      <c r="D84" s="607" t="s">
        <v>89</v>
      </c>
      <c r="E84" s="607" t="s">
        <v>19</v>
      </c>
      <c r="F84" s="148">
        <v>5.2</v>
      </c>
      <c r="G84" s="149">
        <v>7.86</v>
      </c>
      <c r="H84" s="607" t="s">
        <v>417</v>
      </c>
      <c r="I84" s="607" t="s">
        <v>14</v>
      </c>
      <c r="J84" s="138">
        <v>44966</v>
      </c>
      <c r="K84" s="136" t="s">
        <v>418</v>
      </c>
      <c r="L84" s="137">
        <v>36.946300000000001</v>
      </c>
      <c r="M84" s="17" t="s">
        <v>2</v>
      </c>
      <c r="N84" s="17" t="s">
        <v>4</v>
      </c>
      <c r="O84" s="17" t="s">
        <v>4</v>
      </c>
      <c r="P84" s="70">
        <v>37.283999999999999</v>
      </c>
      <c r="Q84" s="70">
        <v>36.814</v>
      </c>
      <c r="R84" s="117">
        <v>45904</v>
      </c>
      <c r="S84" s="22">
        <f t="shared" si="33"/>
        <v>938</v>
      </c>
      <c r="T84" s="107">
        <f t="shared" si="34"/>
        <v>0.13230000000000075</v>
      </c>
      <c r="U84" s="107">
        <f t="shared" si="35"/>
        <v>0.12230000000000076</v>
      </c>
      <c r="V84" s="22">
        <f t="shared" si="36"/>
        <v>7.1042452572303752E-2</v>
      </c>
      <c r="W84" s="22" t="s">
        <v>117</v>
      </c>
      <c r="X84" s="22"/>
      <c r="Y84" s="22"/>
      <c r="Z84" s="601"/>
      <c r="AA84" s="602"/>
    </row>
    <row r="85" spans="1:27" ht="13.8" customHeight="1" thickBot="1" x14ac:dyDescent="0.3">
      <c r="A85" s="653"/>
      <c r="B85" s="653"/>
      <c r="C85" s="654"/>
      <c r="D85" s="645"/>
      <c r="E85" s="645"/>
      <c r="F85" s="150">
        <v>5.2</v>
      </c>
      <c r="G85" s="151">
        <v>7.86</v>
      </c>
      <c r="H85" s="645"/>
      <c r="I85" s="645"/>
      <c r="J85" s="141">
        <v>44966</v>
      </c>
      <c r="K85" s="140" t="s">
        <v>419</v>
      </c>
      <c r="L85" s="142">
        <v>36.796300000000002</v>
      </c>
      <c r="M85" s="42" t="s">
        <v>2</v>
      </c>
      <c r="N85" s="42" t="s">
        <v>4</v>
      </c>
      <c r="O85" s="42" t="s">
        <v>4</v>
      </c>
      <c r="P85" s="74">
        <v>37.021000000000001</v>
      </c>
      <c r="Q85" s="74">
        <v>36.68</v>
      </c>
      <c r="R85" s="118">
        <v>45904</v>
      </c>
      <c r="S85" s="76">
        <f t="shared" si="33"/>
        <v>938</v>
      </c>
      <c r="T85" s="108">
        <f t="shared" si="34"/>
        <v>0.11630000000000251</v>
      </c>
      <c r="U85" s="108">
        <f t="shared" si="35"/>
        <v>0.10630000000000252</v>
      </c>
      <c r="V85" s="76">
        <f t="shared" si="36"/>
        <v>6.174826417363876E-2</v>
      </c>
      <c r="W85" s="76" t="s">
        <v>117</v>
      </c>
      <c r="X85" s="76"/>
      <c r="Y85" s="76"/>
      <c r="Z85" s="601"/>
      <c r="AA85" s="602"/>
    </row>
    <row r="86" spans="1:27" ht="14.4" thickBot="1" x14ac:dyDescent="0.3">
      <c r="A86" s="603" t="s">
        <v>420</v>
      </c>
      <c r="B86" s="604"/>
      <c r="C86" s="604"/>
      <c r="D86" s="604"/>
      <c r="E86" s="604"/>
      <c r="F86" s="604"/>
      <c r="G86" s="604"/>
      <c r="H86" s="604"/>
      <c r="I86" s="604"/>
      <c r="J86" s="604"/>
      <c r="K86" s="604"/>
      <c r="L86" s="604"/>
      <c r="M86" s="604"/>
      <c r="N86" s="604"/>
      <c r="O86" s="604"/>
      <c r="P86" s="604"/>
      <c r="Q86" s="604"/>
      <c r="R86" s="604"/>
      <c r="S86" s="604"/>
      <c r="T86" s="604"/>
      <c r="U86" s="604"/>
      <c r="V86" s="604"/>
      <c r="W86" s="604"/>
      <c r="X86" s="604"/>
      <c r="Y86" s="604"/>
      <c r="Z86" s="604"/>
      <c r="AA86" s="605"/>
    </row>
    <row r="87" spans="1:27" ht="13.2" customHeight="1" x14ac:dyDescent="0.25">
      <c r="A87" s="652">
        <v>36</v>
      </c>
      <c r="B87" s="652" t="s">
        <v>421</v>
      </c>
      <c r="C87" s="650" t="s">
        <v>310</v>
      </c>
      <c r="D87" s="606" t="s">
        <v>89</v>
      </c>
      <c r="E87" s="606" t="s">
        <v>19</v>
      </c>
      <c r="F87" s="144">
        <v>5.2</v>
      </c>
      <c r="G87" s="145">
        <v>7.86</v>
      </c>
      <c r="H87" s="606" t="s">
        <v>287</v>
      </c>
      <c r="I87" s="606" t="s">
        <v>271</v>
      </c>
      <c r="J87" s="146">
        <v>44965</v>
      </c>
      <c r="K87" s="134" t="s">
        <v>422</v>
      </c>
      <c r="L87" s="135">
        <v>37.017899999999997</v>
      </c>
      <c r="M87" s="67" t="s">
        <v>2</v>
      </c>
      <c r="N87" s="67" t="s">
        <v>4</v>
      </c>
      <c r="O87" s="67" t="s">
        <v>4</v>
      </c>
      <c r="P87" s="77">
        <v>36.923000000000002</v>
      </c>
      <c r="Q87" s="77">
        <v>36.74</v>
      </c>
      <c r="R87" s="116">
        <v>45903</v>
      </c>
      <c r="S87" s="9">
        <f t="shared" ref="S87:S94" si="37">R87-J87</f>
        <v>938</v>
      </c>
      <c r="T87" s="109">
        <f t="shared" ref="T87:T94" si="38">L87-Q87</f>
        <v>0.27789999999999537</v>
      </c>
      <c r="U87" s="109">
        <f t="shared" ref="U87:U94" si="39">T87-0.01</f>
        <v>0.26789999999999536</v>
      </c>
      <c r="V87" s="9">
        <f t="shared" ref="V87:V94" si="40">(U87*22270)/(S87*G87*F87)</f>
        <v>0.15561956700016133</v>
      </c>
      <c r="W87" s="9" t="s">
        <v>117</v>
      </c>
      <c r="X87" s="9"/>
      <c r="Y87" s="9"/>
      <c r="Z87" s="601"/>
      <c r="AA87" s="602"/>
    </row>
    <row r="88" spans="1:27" ht="13.2" customHeight="1" x14ac:dyDescent="0.25">
      <c r="A88" s="655"/>
      <c r="B88" s="655"/>
      <c r="C88" s="651"/>
      <c r="D88" s="607"/>
      <c r="E88" s="607"/>
      <c r="F88" s="148">
        <v>5.2</v>
      </c>
      <c r="G88" s="149">
        <v>7.86</v>
      </c>
      <c r="H88" s="607"/>
      <c r="I88" s="607"/>
      <c r="J88" s="138">
        <v>44965</v>
      </c>
      <c r="K88" s="136" t="s">
        <v>423</v>
      </c>
      <c r="L88" s="137">
        <v>36.9285</v>
      </c>
      <c r="M88" s="17" t="s">
        <v>2</v>
      </c>
      <c r="N88" s="17" t="s">
        <v>4</v>
      </c>
      <c r="O88" s="17" t="s">
        <v>4</v>
      </c>
      <c r="P88" s="70">
        <v>36.802</v>
      </c>
      <c r="Q88" s="70">
        <v>36.579000000000001</v>
      </c>
      <c r="R88" s="117">
        <v>45903</v>
      </c>
      <c r="S88" s="22">
        <f t="shared" si="37"/>
        <v>938</v>
      </c>
      <c r="T88" s="107">
        <f>L88-Q88</f>
        <v>0.34949999999999903</v>
      </c>
      <c r="U88" s="107">
        <f>T88-0.01</f>
        <v>0.33949999999999902</v>
      </c>
      <c r="V88" s="22">
        <f>(U88*22270)/(S88*G88*F88)</f>
        <v>0.19721106008419384</v>
      </c>
      <c r="W88" s="22" t="s">
        <v>117</v>
      </c>
      <c r="X88" s="22"/>
      <c r="Y88" s="22"/>
      <c r="Z88" s="601" t="s">
        <v>473</v>
      </c>
      <c r="AA88" s="602"/>
    </row>
    <row r="89" spans="1:27" ht="13.2" customHeight="1" x14ac:dyDescent="0.25">
      <c r="A89" s="655">
        <v>37</v>
      </c>
      <c r="B89" s="655" t="s">
        <v>424</v>
      </c>
      <c r="C89" s="651" t="s">
        <v>310</v>
      </c>
      <c r="D89" s="607" t="s">
        <v>375</v>
      </c>
      <c r="E89" s="607" t="s">
        <v>375</v>
      </c>
      <c r="F89" s="656" t="s">
        <v>375</v>
      </c>
      <c r="G89" s="657" t="s">
        <v>375</v>
      </c>
      <c r="H89" s="607" t="s">
        <v>375</v>
      </c>
      <c r="I89" s="607" t="s">
        <v>375</v>
      </c>
      <c r="J89" s="658" t="s">
        <v>375</v>
      </c>
      <c r="K89" s="136" t="s">
        <v>375</v>
      </c>
      <c r="L89" s="137" t="s">
        <v>375</v>
      </c>
      <c r="M89" s="27" t="s">
        <v>123</v>
      </c>
      <c r="N89" s="27" t="s">
        <v>124</v>
      </c>
      <c r="O89" s="27" t="s">
        <v>120</v>
      </c>
      <c r="P89" s="70"/>
      <c r="Q89" s="70"/>
      <c r="R89" s="117"/>
      <c r="S89" s="22"/>
      <c r="T89" s="107"/>
      <c r="U89" s="107"/>
      <c r="V89" s="22" t="s">
        <v>117</v>
      </c>
      <c r="W89" s="22"/>
      <c r="X89" s="22"/>
      <c r="Y89" s="22"/>
      <c r="Z89" s="601"/>
      <c r="AA89" s="602"/>
    </row>
    <row r="90" spans="1:27" ht="13.2" customHeight="1" x14ac:dyDescent="0.25">
      <c r="A90" s="655"/>
      <c r="B90" s="655"/>
      <c r="C90" s="651"/>
      <c r="D90" s="607"/>
      <c r="E90" s="607"/>
      <c r="F90" s="656"/>
      <c r="G90" s="657"/>
      <c r="H90" s="607"/>
      <c r="I90" s="607"/>
      <c r="J90" s="658"/>
      <c r="K90" s="136" t="s">
        <v>375</v>
      </c>
      <c r="L90" s="137" t="s">
        <v>375</v>
      </c>
      <c r="M90" s="27" t="s">
        <v>123</v>
      </c>
      <c r="N90" s="27" t="s">
        <v>124</v>
      </c>
      <c r="O90" s="27" t="s">
        <v>120</v>
      </c>
      <c r="P90" s="70"/>
      <c r="Q90" s="70"/>
      <c r="R90" s="117"/>
      <c r="S90" s="22"/>
      <c r="T90" s="107"/>
      <c r="U90" s="107"/>
      <c r="V90" s="22" t="s">
        <v>117</v>
      </c>
      <c r="W90" s="22"/>
      <c r="X90" s="22"/>
      <c r="Y90" s="22"/>
      <c r="Z90" s="601"/>
      <c r="AA90" s="602"/>
    </row>
    <row r="91" spans="1:27" ht="13.2" customHeight="1" x14ac:dyDescent="0.25">
      <c r="A91" s="655">
        <v>38</v>
      </c>
      <c r="B91" s="655" t="s">
        <v>425</v>
      </c>
      <c r="C91" s="651" t="s">
        <v>310</v>
      </c>
      <c r="D91" s="607" t="s">
        <v>89</v>
      </c>
      <c r="E91" s="607" t="s">
        <v>19</v>
      </c>
      <c r="F91" s="148">
        <v>5.2</v>
      </c>
      <c r="G91" s="149">
        <v>7.86</v>
      </c>
      <c r="H91" s="607" t="s">
        <v>316</v>
      </c>
      <c r="I91" s="607" t="s">
        <v>271</v>
      </c>
      <c r="J91" s="138">
        <v>44965</v>
      </c>
      <c r="K91" s="136" t="s">
        <v>426</v>
      </c>
      <c r="L91" s="137">
        <v>36.732799999999997</v>
      </c>
      <c r="M91" s="17" t="s">
        <v>2</v>
      </c>
      <c r="N91" s="17" t="s">
        <v>4</v>
      </c>
      <c r="O91" s="17" t="s">
        <v>4</v>
      </c>
      <c r="P91" s="70">
        <v>36.786999999999999</v>
      </c>
      <c r="Q91" s="70">
        <v>36.670999999999999</v>
      </c>
      <c r="R91" s="117">
        <v>45903</v>
      </c>
      <c r="S91" s="22">
        <f t="shared" si="37"/>
        <v>938</v>
      </c>
      <c r="T91" s="107">
        <f t="shared" si="38"/>
        <v>6.1799999999998079E-2</v>
      </c>
      <c r="U91" s="107">
        <f t="shared" si="39"/>
        <v>5.1799999999998077E-2</v>
      </c>
      <c r="V91" s="22">
        <f t="shared" si="40"/>
        <v>3.0089934940680095E-2</v>
      </c>
      <c r="W91" s="22" t="s">
        <v>117</v>
      </c>
      <c r="X91" s="22"/>
      <c r="Y91" s="22"/>
      <c r="Z91" s="601"/>
      <c r="AA91" s="602"/>
    </row>
    <row r="92" spans="1:27" ht="13.2" customHeight="1" x14ac:dyDescent="0.25">
      <c r="A92" s="655"/>
      <c r="B92" s="655"/>
      <c r="C92" s="651"/>
      <c r="D92" s="607"/>
      <c r="E92" s="607"/>
      <c r="F92" s="148">
        <v>5.2</v>
      </c>
      <c r="G92" s="149">
        <v>7.86</v>
      </c>
      <c r="H92" s="607"/>
      <c r="I92" s="607"/>
      <c r="J92" s="138">
        <v>44965</v>
      </c>
      <c r="K92" s="136" t="s">
        <v>427</v>
      </c>
      <c r="L92" s="137">
        <v>36.737699999999997</v>
      </c>
      <c r="M92" s="17" t="s">
        <v>2</v>
      </c>
      <c r="N92" s="17" t="s">
        <v>4</v>
      </c>
      <c r="O92" s="17" t="s">
        <v>4</v>
      </c>
      <c r="P92" s="70">
        <v>36.792000000000002</v>
      </c>
      <c r="Q92" s="70">
        <v>36.67</v>
      </c>
      <c r="R92" s="117">
        <v>45903</v>
      </c>
      <c r="S92" s="22">
        <f t="shared" si="37"/>
        <v>938</v>
      </c>
      <c r="T92" s="107">
        <f t="shared" si="38"/>
        <v>6.7699999999994986E-2</v>
      </c>
      <c r="U92" s="107">
        <f t="shared" si="39"/>
        <v>5.7699999999994984E-2</v>
      </c>
      <c r="V92" s="22">
        <f t="shared" si="40"/>
        <v>3.3517166912686386E-2</v>
      </c>
      <c r="W92" s="22" t="s">
        <v>117</v>
      </c>
      <c r="X92" s="22"/>
      <c r="Y92" s="22"/>
      <c r="Z92" s="601"/>
      <c r="AA92" s="602"/>
    </row>
    <row r="93" spans="1:27" ht="13.2" customHeight="1" x14ac:dyDescent="0.25">
      <c r="A93" s="655">
        <v>39</v>
      </c>
      <c r="B93" s="655" t="s">
        <v>428</v>
      </c>
      <c r="C93" s="651" t="s">
        <v>310</v>
      </c>
      <c r="D93" s="607" t="s">
        <v>89</v>
      </c>
      <c r="E93" s="607" t="s">
        <v>19</v>
      </c>
      <c r="F93" s="148">
        <v>5.2</v>
      </c>
      <c r="G93" s="149">
        <v>7.86</v>
      </c>
      <c r="H93" s="607" t="s">
        <v>219</v>
      </c>
      <c r="I93" s="607" t="s">
        <v>14</v>
      </c>
      <c r="J93" s="138">
        <v>44965</v>
      </c>
      <c r="K93" s="136" t="s">
        <v>429</v>
      </c>
      <c r="L93" s="137">
        <v>36.675800000000002</v>
      </c>
      <c r="M93" s="17" t="s">
        <v>2</v>
      </c>
      <c r="N93" s="17" t="s">
        <v>4</v>
      </c>
      <c r="O93" s="17" t="s">
        <v>4</v>
      </c>
      <c r="P93" s="70">
        <v>36.725999999999999</v>
      </c>
      <c r="Q93" s="70">
        <v>36.616</v>
      </c>
      <c r="R93" s="117">
        <v>45903</v>
      </c>
      <c r="S93" s="22">
        <f t="shared" si="37"/>
        <v>938</v>
      </c>
      <c r="T93" s="107">
        <f t="shared" si="38"/>
        <v>5.980000000000274E-2</v>
      </c>
      <c r="U93" s="107">
        <f t="shared" si="39"/>
        <v>4.9800000000002738E-2</v>
      </c>
      <c r="V93" s="22">
        <f t="shared" si="40"/>
        <v>2.8928161390849548E-2</v>
      </c>
      <c r="W93" s="22" t="s">
        <v>117</v>
      </c>
      <c r="X93" s="22"/>
      <c r="Y93" s="22"/>
      <c r="Z93" s="601"/>
      <c r="AA93" s="602"/>
    </row>
    <row r="94" spans="1:27" ht="13.8" customHeight="1" x14ac:dyDescent="0.25">
      <c r="A94" s="655"/>
      <c r="B94" s="655"/>
      <c r="C94" s="651"/>
      <c r="D94" s="607"/>
      <c r="E94" s="607"/>
      <c r="F94" s="148">
        <v>5.2</v>
      </c>
      <c r="G94" s="149">
        <v>7.86</v>
      </c>
      <c r="H94" s="607"/>
      <c r="I94" s="607"/>
      <c r="J94" s="138">
        <v>44965</v>
      </c>
      <c r="K94" s="136" t="s">
        <v>430</v>
      </c>
      <c r="L94" s="137">
        <v>36.804699999999997</v>
      </c>
      <c r="M94" s="17" t="s">
        <v>2</v>
      </c>
      <c r="N94" s="17" t="s">
        <v>4</v>
      </c>
      <c r="O94" s="17" t="s">
        <v>4</v>
      </c>
      <c r="P94" s="70">
        <v>36.857999999999997</v>
      </c>
      <c r="Q94" s="70">
        <v>36.737000000000002</v>
      </c>
      <c r="R94" s="117">
        <v>45903</v>
      </c>
      <c r="S94" s="22">
        <f t="shared" si="37"/>
        <v>938</v>
      </c>
      <c r="T94" s="107">
        <f t="shared" si="38"/>
        <v>6.7699999999994986E-2</v>
      </c>
      <c r="U94" s="107">
        <f t="shared" si="39"/>
        <v>5.7699999999994984E-2</v>
      </c>
      <c r="V94" s="22">
        <f t="shared" si="40"/>
        <v>3.3517166912686386E-2</v>
      </c>
      <c r="W94" s="22" t="s">
        <v>117</v>
      </c>
      <c r="X94" s="22"/>
      <c r="Y94" s="22"/>
      <c r="Z94" s="601"/>
      <c r="AA94" s="602"/>
    </row>
  </sheetData>
  <mergeCells count="394">
    <mergeCell ref="H82:H83"/>
    <mergeCell ref="I82:I83"/>
    <mergeCell ref="H79:H80"/>
    <mergeCell ref="I79:I80"/>
    <mergeCell ref="A82:A83"/>
    <mergeCell ref="B82:B83"/>
    <mergeCell ref="C82:C83"/>
    <mergeCell ref="D82:D83"/>
    <mergeCell ref="E82:E83"/>
    <mergeCell ref="A79:A80"/>
    <mergeCell ref="B79:B80"/>
    <mergeCell ref="C79:C80"/>
    <mergeCell ref="D79:D80"/>
    <mergeCell ref="E79:E80"/>
    <mergeCell ref="J89:J90"/>
    <mergeCell ref="A91:A92"/>
    <mergeCell ref="B91:B92"/>
    <mergeCell ref="C91:C92"/>
    <mergeCell ref="D91:D92"/>
    <mergeCell ref="E91:E92"/>
    <mergeCell ref="A89:A90"/>
    <mergeCell ref="B89:B90"/>
    <mergeCell ref="C89:C90"/>
    <mergeCell ref="D89:D90"/>
    <mergeCell ref="E89:E90"/>
    <mergeCell ref="F89:F90"/>
    <mergeCell ref="G89:G90"/>
    <mergeCell ref="H89:H90"/>
    <mergeCell ref="I89:I90"/>
    <mergeCell ref="H93:H94"/>
    <mergeCell ref="I93:I94"/>
    <mergeCell ref="A93:A94"/>
    <mergeCell ref="B93:B94"/>
    <mergeCell ref="C93:C94"/>
    <mergeCell ref="D93:D94"/>
    <mergeCell ref="E93:E94"/>
    <mergeCell ref="H91:H92"/>
    <mergeCell ref="I91:I92"/>
    <mergeCell ref="H87:H88"/>
    <mergeCell ref="I87:I88"/>
    <mergeCell ref="H84:H85"/>
    <mergeCell ref="I84:I85"/>
    <mergeCell ref="A87:A88"/>
    <mergeCell ref="B87:B88"/>
    <mergeCell ref="C87:C88"/>
    <mergeCell ref="D87:D88"/>
    <mergeCell ref="E87:E88"/>
    <mergeCell ref="A84:A85"/>
    <mergeCell ref="B84:B85"/>
    <mergeCell ref="C84:C85"/>
    <mergeCell ref="D84:D85"/>
    <mergeCell ref="E84:E85"/>
    <mergeCell ref="H77:H78"/>
    <mergeCell ref="I77:I78"/>
    <mergeCell ref="H74:H75"/>
    <mergeCell ref="I74:I75"/>
    <mergeCell ref="J74:J75"/>
    <mergeCell ref="A77:A78"/>
    <mergeCell ref="B77:B78"/>
    <mergeCell ref="C77:C78"/>
    <mergeCell ref="D77:D78"/>
    <mergeCell ref="E77:E78"/>
    <mergeCell ref="A74:A75"/>
    <mergeCell ref="B74:B75"/>
    <mergeCell ref="C74:C75"/>
    <mergeCell ref="D74:D75"/>
    <mergeCell ref="E74:E75"/>
    <mergeCell ref="F72:F73"/>
    <mergeCell ref="G72:G73"/>
    <mergeCell ref="H72:H73"/>
    <mergeCell ref="I72:I73"/>
    <mergeCell ref="J72:J73"/>
    <mergeCell ref="G70:G71"/>
    <mergeCell ref="H70:H71"/>
    <mergeCell ref="I70:I71"/>
    <mergeCell ref="J70:J71"/>
    <mergeCell ref="F70:F71"/>
    <mergeCell ref="A72:A73"/>
    <mergeCell ref="B72:B73"/>
    <mergeCell ref="C72:C73"/>
    <mergeCell ref="D72:D73"/>
    <mergeCell ref="E72:E73"/>
    <mergeCell ref="A70:A71"/>
    <mergeCell ref="B70:B71"/>
    <mergeCell ref="C70:C71"/>
    <mergeCell ref="D70:D71"/>
    <mergeCell ref="E70:E71"/>
    <mergeCell ref="F68:F69"/>
    <mergeCell ref="G68:G69"/>
    <mergeCell ref="H68:H69"/>
    <mergeCell ref="I68:I69"/>
    <mergeCell ref="J68:J69"/>
    <mergeCell ref="H66:H67"/>
    <mergeCell ref="I66:I67"/>
    <mergeCell ref="A68:A69"/>
    <mergeCell ref="B68:B69"/>
    <mergeCell ref="C68:C69"/>
    <mergeCell ref="D68:D69"/>
    <mergeCell ref="E68:E69"/>
    <mergeCell ref="A66:A67"/>
    <mergeCell ref="B66:B67"/>
    <mergeCell ref="C66:C67"/>
    <mergeCell ref="D66:D67"/>
    <mergeCell ref="E66:E67"/>
    <mergeCell ref="H64:H65"/>
    <mergeCell ref="I64:I65"/>
    <mergeCell ref="H62:H63"/>
    <mergeCell ref="I62:I63"/>
    <mergeCell ref="A64:A65"/>
    <mergeCell ref="B64:B65"/>
    <mergeCell ref="C64:C65"/>
    <mergeCell ref="D64:D65"/>
    <mergeCell ref="E64:E65"/>
    <mergeCell ref="A62:A63"/>
    <mergeCell ref="B62:B63"/>
    <mergeCell ref="C62:C63"/>
    <mergeCell ref="D62:D63"/>
    <mergeCell ref="E62:E63"/>
    <mergeCell ref="F60:F61"/>
    <mergeCell ref="G60:G61"/>
    <mergeCell ref="H60:H61"/>
    <mergeCell ref="I60:I61"/>
    <mergeCell ref="J60:J61"/>
    <mergeCell ref="H58:H59"/>
    <mergeCell ref="I58:I59"/>
    <mergeCell ref="A60:A61"/>
    <mergeCell ref="B60:B61"/>
    <mergeCell ref="C60:C61"/>
    <mergeCell ref="D60:D61"/>
    <mergeCell ref="E60:E61"/>
    <mergeCell ref="A58:A59"/>
    <mergeCell ref="B58:B59"/>
    <mergeCell ref="C58:C59"/>
    <mergeCell ref="D58:D59"/>
    <mergeCell ref="E58:E59"/>
    <mergeCell ref="F56:F57"/>
    <mergeCell ref="G56:G57"/>
    <mergeCell ref="H56:H57"/>
    <mergeCell ref="I56:I57"/>
    <mergeCell ref="J56:J57"/>
    <mergeCell ref="G54:G55"/>
    <mergeCell ref="H54:H55"/>
    <mergeCell ref="I54:I55"/>
    <mergeCell ref="J54:J55"/>
    <mergeCell ref="F54:F55"/>
    <mergeCell ref="A56:A57"/>
    <mergeCell ref="B56:B57"/>
    <mergeCell ref="C56:C57"/>
    <mergeCell ref="D56:D57"/>
    <mergeCell ref="E56:E57"/>
    <mergeCell ref="A54:A55"/>
    <mergeCell ref="B54:B55"/>
    <mergeCell ref="C54:C55"/>
    <mergeCell ref="D54:D55"/>
    <mergeCell ref="E54:E55"/>
    <mergeCell ref="F52:F53"/>
    <mergeCell ref="G52:G53"/>
    <mergeCell ref="H52:H53"/>
    <mergeCell ref="I52:I53"/>
    <mergeCell ref="J52:J53"/>
    <mergeCell ref="H50:H51"/>
    <mergeCell ref="I50:I51"/>
    <mergeCell ref="A52:A53"/>
    <mergeCell ref="B52:B53"/>
    <mergeCell ref="C52:C53"/>
    <mergeCell ref="D52:D53"/>
    <mergeCell ref="E52:E53"/>
    <mergeCell ref="A50:A51"/>
    <mergeCell ref="B50:B51"/>
    <mergeCell ref="C50:C51"/>
    <mergeCell ref="D50:D51"/>
    <mergeCell ref="E50:E51"/>
    <mergeCell ref="F48:F49"/>
    <mergeCell ref="G48:G49"/>
    <mergeCell ref="H48:H49"/>
    <mergeCell ref="I48:I49"/>
    <mergeCell ref="J48:J49"/>
    <mergeCell ref="G46:G47"/>
    <mergeCell ref="H46:H47"/>
    <mergeCell ref="I46:I47"/>
    <mergeCell ref="J46:J47"/>
    <mergeCell ref="F46:F47"/>
    <mergeCell ref="A48:A49"/>
    <mergeCell ref="B48:B49"/>
    <mergeCell ref="C48:C49"/>
    <mergeCell ref="D48:D49"/>
    <mergeCell ref="E48:E49"/>
    <mergeCell ref="A46:A47"/>
    <mergeCell ref="B46:B47"/>
    <mergeCell ref="C46:C47"/>
    <mergeCell ref="D46:D47"/>
    <mergeCell ref="E46:E47"/>
    <mergeCell ref="H44:H45"/>
    <mergeCell ref="I44:I45"/>
    <mergeCell ref="H42:H43"/>
    <mergeCell ref="I42:I43"/>
    <mergeCell ref="A44:A45"/>
    <mergeCell ref="B44:B45"/>
    <mergeCell ref="C44:C45"/>
    <mergeCell ref="D44:D45"/>
    <mergeCell ref="E44:E45"/>
    <mergeCell ref="A42:A43"/>
    <mergeCell ref="B42:B43"/>
    <mergeCell ref="C42:C43"/>
    <mergeCell ref="D42:D43"/>
    <mergeCell ref="E42:E43"/>
    <mergeCell ref="H40:H41"/>
    <mergeCell ref="I40:I41"/>
    <mergeCell ref="H37:H38"/>
    <mergeCell ref="I37:I38"/>
    <mergeCell ref="A40:A41"/>
    <mergeCell ref="B40:B41"/>
    <mergeCell ref="C40:C41"/>
    <mergeCell ref="D40:D41"/>
    <mergeCell ref="E40:E41"/>
    <mergeCell ref="A37:A38"/>
    <mergeCell ref="B37:B38"/>
    <mergeCell ref="C37:C38"/>
    <mergeCell ref="D37:D38"/>
    <mergeCell ref="E37:E38"/>
    <mergeCell ref="H34:H35"/>
    <mergeCell ref="I34:I35"/>
    <mergeCell ref="H30:H31"/>
    <mergeCell ref="I30:I31"/>
    <mergeCell ref="A34:A35"/>
    <mergeCell ref="B34:B35"/>
    <mergeCell ref="C34:C35"/>
    <mergeCell ref="D34:D35"/>
    <mergeCell ref="E34:E35"/>
    <mergeCell ref="A30:A31"/>
    <mergeCell ref="B30:B31"/>
    <mergeCell ref="C30:C31"/>
    <mergeCell ref="D30:D31"/>
    <mergeCell ref="E30:E31"/>
    <mergeCell ref="H27:H28"/>
    <mergeCell ref="I27:I28"/>
    <mergeCell ref="H23:H24"/>
    <mergeCell ref="I23:I24"/>
    <mergeCell ref="A27:A28"/>
    <mergeCell ref="B27:B28"/>
    <mergeCell ref="C27:C28"/>
    <mergeCell ref="D27:D28"/>
    <mergeCell ref="E27:E28"/>
    <mergeCell ref="A23:A24"/>
    <mergeCell ref="B23:B24"/>
    <mergeCell ref="C23:C24"/>
    <mergeCell ref="D23:D24"/>
    <mergeCell ref="E23:E24"/>
    <mergeCell ref="H20:H21"/>
    <mergeCell ref="I20:I21"/>
    <mergeCell ref="H18:H19"/>
    <mergeCell ref="I18:I19"/>
    <mergeCell ref="A20:A21"/>
    <mergeCell ref="B20:B21"/>
    <mergeCell ref="C20:C21"/>
    <mergeCell ref="D20:D21"/>
    <mergeCell ref="E20:E21"/>
    <mergeCell ref="A18:A19"/>
    <mergeCell ref="B18:B19"/>
    <mergeCell ref="C18:C19"/>
    <mergeCell ref="D18:D19"/>
    <mergeCell ref="E18:E19"/>
    <mergeCell ref="H16:H17"/>
    <mergeCell ref="I16:I17"/>
    <mergeCell ref="H14:H15"/>
    <mergeCell ref="I14:I15"/>
    <mergeCell ref="A16:A17"/>
    <mergeCell ref="B16:B17"/>
    <mergeCell ref="C16:C17"/>
    <mergeCell ref="D16:D17"/>
    <mergeCell ref="E16:E17"/>
    <mergeCell ref="A14:A15"/>
    <mergeCell ref="B14:B15"/>
    <mergeCell ref="C14:C15"/>
    <mergeCell ref="D14:D15"/>
    <mergeCell ref="E14:E15"/>
    <mergeCell ref="I12:I13"/>
    <mergeCell ref="H9:H10"/>
    <mergeCell ref="I9:I10"/>
    <mergeCell ref="A12:A13"/>
    <mergeCell ref="B12:B13"/>
    <mergeCell ref="C12:C13"/>
    <mergeCell ref="D12:D13"/>
    <mergeCell ref="E12:E13"/>
    <mergeCell ref="A9:A10"/>
    <mergeCell ref="B9:B10"/>
    <mergeCell ref="C9:C10"/>
    <mergeCell ref="D9:D10"/>
    <mergeCell ref="E9:E10"/>
    <mergeCell ref="A1:L1"/>
    <mergeCell ref="M1:O1"/>
    <mergeCell ref="A2:C2"/>
    <mergeCell ref="D2:L2"/>
    <mergeCell ref="M2:M3"/>
    <mergeCell ref="N2:N3"/>
    <mergeCell ref="O2:O3"/>
    <mergeCell ref="P2:P3"/>
    <mergeCell ref="Q2:Q3"/>
    <mergeCell ref="Z2:AA3"/>
    <mergeCell ref="Z16:AA16"/>
    <mergeCell ref="Z17:AA17"/>
    <mergeCell ref="Z19:AA19"/>
    <mergeCell ref="Z32:AA32"/>
    <mergeCell ref="Z40:AA40"/>
    <mergeCell ref="Z41:AA41"/>
    <mergeCell ref="P1:AA1"/>
    <mergeCell ref="A7:AA7"/>
    <mergeCell ref="A8:AA8"/>
    <mergeCell ref="A11:AA11"/>
    <mergeCell ref="A22:AA22"/>
    <mergeCell ref="A25:AA25"/>
    <mergeCell ref="A33:AA33"/>
    <mergeCell ref="A36:AA36"/>
    <mergeCell ref="A39:AA39"/>
    <mergeCell ref="X2:X3"/>
    <mergeCell ref="Y2:Y3"/>
    <mergeCell ref="W2:W3"/>
    <mergeCell ref="R2:R3"/>
    <mergeCell ref="S2:S3"/>
    <mergeCell ref="T2:T3"/>
    <mergeCell ref="U2:U3"/>
    <mergeCell ref="V2:V3"/>
    <mergeCell ref="A29:AA29"/>
    <mergeCell ref="A86:AA86"/>
    <mergeCell ref="A76:AA76"/>
    <mergeCell ref="A81:AA81"/>
    <mergeCell ref="Z13:AA13"/>
    <mergeCell ref="Z14:AA14"/>
    <mergeCell ref="Z15:AA15"/>
    <mergeCell ref="Z18:AA18"/>
    <mergeCell ref="Z20:AA20"/>
    <mergeCell ref="Z21:AA21"/>
    <mergeCell ref="Z23:AA23"/>
    <mergeCell ref="Z24:AA24"/>
    <mergeCell ref="Z26:AA26"/>
    <mergeCell ref="Z27:AA27"/>
    <mergeCell ref="Z28:AA28"/>
    <mergeCell ref="Z30:AA30"/>
    <mergeCell ref="Z31:AA31"/>
    <mergeCell ref="Z34:AA34"/>
    <mergeCell ref="Z35:AA35"/>
    <mergeCell ref="Z37:AA37"/>
    <mergeCell ref="Z38:AA38"/>
    <mergeCell ref="Z42:AA42"/>
    <mergeCell ref="Z43:AA43"/>
    <mergeCell ref="H12:H13"/>
    <mergeCell ref="Z44:AA44"/>
    <mergeCell ref="Z45:AA45"/>
    <mergeCell ref="Z46:AA46"/>
    <mergeCell ref="Z47:AA47"/>
    <mergeCell ref="Z48:AA48"/>
    <mergeCell ref="Z49:AA49"/>
    <mergeCell ref="Z50:AA50"/>
    <mergeCell ref="Z51:AA51"/>
    <mergeCell ref="Z52:AA52"/>
    <mergeCell ref="Z53:AA53"/>
    <mergeCell ref="Z54:AA54"/>
    <mergeCell ref="Z55:AA55"/>
    <mergeCell ref="Z56:AA56"/>
    <mergeCell ref="Z57:AA57"/>
    <mergeCell ref="Z58:AA58"/>
    <mergeCell ref="Z59:AA59"/>
    <mergeCell ref="Z60:AA60"/>
    <mergeCell ref="Z61:AA61"/>
    <mergeCell ref="Z62:AA62"/>
    <mergeCell ref="Z63:AA63"/>
    <mergeCell ref="Z64:AA64"/>
    <mergeCell ref="Z65:AA65"/>
    <mergeCell ref="Z66:AA66"/>
    <mergeCell ref="Z67:AA67"/>
    <mergeCell ref="Z68:AA68"/>
    <mergeCell ref="Z69:AA69"/>
    <mergeCell ref="Z70:AA70"/>
    <mergeCell ref="Z87:AA87"/>
    <mergeCell ref="Z88:AA88"/>
    <mergeCell ref="Z89:AA89"/>
    <mergeCell ref="Z90:AA90"/>
    <mergeCell ref="Z91:AA91"/>
    <mergeCell ref="Z92:AA92"/>
    <mergeCell ref="Z93:AA93"/>
    <mergeCell ref="Z94:AA94"/>
    <mergeCell ref="Z71:AA71"/>
    <mergeCell ref="Z72:AA72"/>
    <mergeCell ref="Z73:AA73"/>
    <mergeCell ref="Z74:AA74"/>
    <mergeCell ref="Z75:AA75"/>
    <mergeCell ref="Z77:AA77"/>
    <mergeCell ref="Z78:AA78"/>
    <mergeCell ref="Z79:AA79"/>
    <mergeCell ref="Z80:AA80"/>
    <mergeCell ref="Z82:AA82"/>
    <mergeCell ref="Z83:AA83"/>
    <mergeCell ref="Z84:AA84"/>
    <mergeCell ref="Z85:AA85"/>
  </mergeCells>
  <conditionalFormatting sqref="K9:K10">
    <cfRule type="duplicateValues" dxfId="313" priority="55"/>
  </conditionalFormatting>
  <conditionalFormatting sqref="K12:K13">
    <cfRule type="duplicateValues" dxfId="312" priority="95"/>
  </conditionalFormatting>
  <conditionalFormatting sqref="K14:K15">
    <cfRule type="duplicateValues" dxfId="311" priority="99"/>
  </conditionalFormatting>
  <conditionalFormatting sqref="K16:K17">
    <cfRule type="duplicateValues" dxfId="310" priority="93"/>
  </conditionalFormatting>
  <conditionalFormatting sqref="K18:K19">
    <cfRule type="duplicateValues" dxfId="309" priority="65"/>
  </conditionalFormatting>
  <conditionalFormatting sqref="K20:K21">
    <cfRule type="duplicateValues" dxfId="308" priority="63"/>
  </conditionalFormatting>
  <conditionalFormatting sqref="K23:K24">
    <cfRule type="duplicateValues" dxfId="307" priority="90"/>
  </conditionalFormatting>
  <conditionalFormatting sqref="K26">
    <cfRule type="duplicateValues" dxfId="306" priority="88"/>
    <cfRule type="duplicateValues" dxfId="305" priority="87"/>
    <cfRule type="duplicateValues" dxfId="304" priority="86"/>
  </conditionalFormatting>
  <conditionalFormatting sqref="K27:K28">
    <cfRule type="duplicateValues" dxfId="303" priority="84"/>
    <cfRule type="duplicateValues" dxfId="302" priority="83"/>
  </conditionalFormatting>
  <conditionalFormatting sqref="K30:K31">
    <cfRule type="duplicateValues" dxfId="301" priority="82"/>
    <cfRule type="duplicateValues" dxfId="300" priority="81"/>
  </conditionalFormatting>
  <conditionalFormatting sqref="K32">
    <cfRule type="duplicateValues" dxfId="299" priority="78"/>
  </conditionalFormatting>
  <conditionalFormatting sqref="K34:K35">
    <cfRule type="duplicateValues" dxfId="298" priority="75"/>
    <cfRule type="duplicateValues" dxfId="297" priority="76"/>
  </conditionalFormatting>
  <conditionalFormatting sqref="K37:K38">
    <cfRule type="duplicateValues" dxfId="296" priority="72"/>
    <cfRule type="duplicateValues" dxfId="295" priority="73"/>
  </conditionalFormatting>
  <conditionalFormatting sqref="K44:K45">
    <cfRule type="duplicateValues" dxfId="294" priority="61"/>
  </conditionalFormatting>
  <conditionalFormatting sqref="K62:K65 K40:K43 K50:K51 K58:K59">
    <cfRule type="duplicateValues" dxfId="293" priority="97"/>
  </conditionalFormatting>
  <conditionalFormatting sqref="K66:K67">
    <cfRule type="duplicateValues" dxfId="292" priority="59"/>
  </conditionalFormatting>
  <conditionalFormatting sqref="K74:K75">
    <cfRule type="duplicateValues" dxfId="291" priority="57"/>
  </conditionalFormatting>
  <conditionalFormatting sqref="K82:K85">
    <cfRule type="duplicateValues" dxfId="290" priority="71"/>
    <cfRule type="duplicateValues" dxfId="289" priority="69"/>
  </conditionalFormatting>
  <conditionalFormatting sqref="K87:K88 K91:K94">
    <cfRule type="duplicateValues" dxfId="288" priority="66"/>
  </conditionalFormatting>
  <conditionalFormatting sqref="K91:K94">
    <cfRule type="duplicateValues" dxfId="287" priority="68"/>
  </conditionalFormatting>
  <conditionalFormatting sqref="L9:L10">
    <cfRule type="duplicateValues" dxfId="286" priority="56"/>
  </conditionalFormatting>
  <conditionalFormatting sqref="L12:L13">
    <cfRule type="duplicateValues" dxfId="285" priority="96"/>
  </conditionalFormatting>
  <conditionalFormatting sqref="L14:L15">
    <cfRule type="duplicateValues" dxfId="284" priority="100"/>
  </conditionalFormatting>
  <conditionalFormatting sqref="L16:L17">
    <cfRule type="duplicateValues" dxfId="283" priority="94"/>
  </conditionalFormatting>
  <conditionalFormatting sqref="L18:L19">
    <cfRule type="duplicateValues" dxfId="282" priority="92"/>
  </conditionalFormatting>
  <conditionalFormatting sqref="L20:L21">
    <cfRule type="duplicateValues" dxfId="281" priority="64"/>
  </conditionalFormatting>
  <conditionalFormatting sqref="L23:L24">
    <cfRule type="duplicateValues" dxfId="280" priority="91"/>
  </conditionalFormatting>
  <conditionalFormatting sqref="L26">
    <cfRule type="duplicateValues" dxfId="279" priority="89"/>
  </conditionalFormatting>
  <conditionalFormatting sqref="L27:L28">
    <cfRule type="duplicateValues" dxfId="278" priority="85"/>
  </conditionalFormatting>
  <conditionalFormatting sqref="L30:L31">
    <cfRule type="duplicateValues" dxfId="277" priority="80"/>
  </conditionalFormatting>
  <conditionalFormatting sqref="L32">
    <cfRule type="duplicateValues" dxfId="276" priority="79"/>
  </conditionalFormatting>
  <conditionalFormatting sqref="L34:L35">
    <cfRule type="duplicateValues" dxfId="275" priority="77"/>
  </conditionalFormatting>
  <conditionalFormatting sqref="L37:L38">
    <cfRule type="duplicateValues" dxfId="274" priority="74"/>
  </conditionalFormatting>
  <conditionalFormatting sqref="L44:L45">
    <cfRule type="duplicateValues" dxfId="273" priority="62"/>
  </conditionalFormatting>
  <conditionalFormatting sqref="L58 L77:L80 L50:L51 L62:L65 L40:L43">
    <cfRule type="duplicateValues" dxfId="272" priority="98"/>
  </conditionalFormatting>
  <conditionalFormatting sqref="L66:L67">
    <cfRule type="duplicateValues" dxfId="271" priority="60"/>
  </conditionalFormatting>
  <conditionalFormatting sqref="L74:L75">
    <cfRule type="duplicateValues" dxfId="270" priority="58"/>
  </conditionalFormatting>
  <conditionalFormatting sqref="L82:L85">
    <cfRule type="duplicateValues" dxfId="269" priority="70"/>
  </conditionalFormatting>
  <conditionalFormatting sqref="L91:L94 L87:L88">
    <cfRule type="duplicateValues" dxfId="268" priority="67"/>
  </conditionalFormatting>
  <conditionalFormatting sqref="V9:V10">
    <cfRule type="cellIs" dxfId="267" priority="18" operator="lessThan">
      <formula>0</formula>
    </cfRule>
    <cfRule type="cellIs" dxfId="266" priority="16" operator="between">
      <formula>1</formula>
      <formula>4.9</formula>
    </cfRule>
    <cfRule type="cellIs" dxfId="265" priority="17" operator="between">
      <formula>0</formula>
      <formula>0.9999999999</formula>
    </cfRule>
  </conditionalFormatting>
  <conditionalFormatting sqref="V12:V21">
    <cfRule type="cellIs" dxfId="264" priority="52" operator="between">
      <formula>1</formula>
      <formula>4.9</formula>
    </cfRule>
    <cfRule type="cellIs" dxfId="263" priority="53" operator="between">
      <formula>0</formula>
      <formula>0.9999999999</formula>
    </cfRule>
    <cfRule type="cellIs" dxfId="262" priority="54" operator="lessThan">
      <formula>0</formula>
    </cfRule>
  </conditionalFormatting>
  <conditionalFormatting sqref="V23:V24">
    <cfRule type="cellIs" dxfId="261" priority="46" operator="between">
      <formula>1</formula>
      <formula>4.9</formula>
    </cfRule>
    <cfRule type="cellIs" dxfId="260" priority="48" operator="lessThan">
      <formula>0</formula>
    </cfRule>
    <cfRule type="cellIs" dxfId="259" priority="47" operator="between">
      <formula>0</formula>
      <formula>0.9999999999</formula>
    </cfRule>
  </conditionalFormatting>
  <conditionalFormatting sqref="V26:V28">
    <cfRule type="cellIs" dxfId="258" priority="45" operator="lessThan">
      <formula>0</formula>
    </cfRule>
    <cfRule type="cellIs" dxfId="257" priority="44" operator="between">
      <formula>0</formula>
      <formula>0.9999999999</formula>
    </cfRule>
    <cfRule type="cellIs" dxfId="256" priority="43" operator="between">
      <formula>1</formula>
      <formula>4.9</formula>
    </cfRule>
  </conditionalFormatting>
  <conditionalFormatting sqref="V30:V32">
    <cfRule type="cellIs" dxfId="255" priority="42" operator="lessThan">
      <formula>0</formula>
    </cfRule>
    <cfRule type="cellIs" dxfId="254" priority="41" operator="between">
      <formula>0</formula>
      <formula>0.9999999999</formula>
    </cfRule>
    <cfRule type="cellIs" dxfId="253" priority="40" operator="between">
      <formula>1</formula>
      <formula>4.9</formula>
    </cfRule>
  </conditionalFormatting>
  <conditionalFormatting sqref="V34:V35">
    <cfRule type="cellIs" dxfId="252" priority="39" operator="lessThan">
      <formula>0</formula>
    </cfRule>
    <cfRule type="cellIs" dxfId="251" priority="38" operator="between">
      <formula>0</formula>
      <formula>0.9999999999</formula>
    </cfRule>
    <cfRule type="cellIs" dxfId="250" priority="37" operator="between">
      <formula>1</formula>
      <formula>4.9</formula>
    </cfRule>
  </conditionalFormatting>
  <conditionalFormatting sqref="V37:V38">
    <cfRule type="cellIs" dxfId="249" priority="34" operator="between">
      <formula>1</formula>
      <formula>4.9</formula>
    </cfRule>
    <cfRule type="cellIs" dxfId="248" priority="36" operator="lessThan">
      <formula>0</formula>
    </cfRule>
    <cfRule type="cellIs" dxfId="247" priority="35" operator="between">
      <formula>0</formula>
      <formula>0.9999999999</formula>
    </cfRule>
  </conditionalFormatting>
  <conditionalFormatting sqref="V40:V75">
    <cfRule type="cellIs" dxfId="246" priority="29" operator="between">
      <formula>0</formula>
      <formula>0.9999999999</formula>
    </cfRule>
    <cfRule type="cellIs" dxfId="245" priority="30" operator="lessThan">
      <formula>0</formula>
    </cfRule>
    <cfRule type="cellIs" dxfId="244" priority="28" operator="between">
      <formula>1</formula>
      <formula>4.9</formula>
    </cfRule>
  </conditionalFormatting>
  <conditionalFormatting sqref="V77:V80">
    <cfRule type="cellIs" dxfId="243" priority="27" operator="lessThan">
      <formula>0</formula>
    </cfRule>
    <cfRule type="cellIs" dxfId="242" priority="26" operator="between">
      <formula>0</formula>
      <formula>0.9999999999</formula>
    </cfRule>
    <cfRule type="cellIs" dxfId="241" priority="25" operator="between">
      <formula>1</formula>
      <formula>4.9</formula>
    </cfRule>
  </conditionalFormatting>
  <conditionalFormatting sqref="V82:V85">
    <cfRule type="cellIs" dxfId="240" priority="24" operator="lessThan">
      <formula>0</formula>
    </cfRule>
    <cfRule type="cellIs" dxfId="239" priority="22" operator="between">
      <formula>1</formula>
      <formula>4.9</formula>
    </cfRule>
    <cfRule type="cellIs" dxfId="238" priority="23" operator="between">
      <formula>0</formula>
      <formula>0.9999999999</formula>
    </cfRule>
  </conditionalFormatting>
  <conditionalFormatting sqref="V87:V94">
    <cfRule type="cellIs" dxfId="237" priority="21" operator="lessThan">
      <formula>0</formula>
    </cfRule>
    <cfRule type="cellIs" dxfId="236" priority="20" operator="between">
      <formula>0</formula>
      <formula>0.9999999999</formula>
    </cfRule>
    <cfRule type="cellIs" dxfId="235" priority="19" operator="between">
      <formula>1</formula>
      <formula>4.9</formula>
    </cfRule>
  </conditionalFormatting>
  <conditionalFormatting sqref="V4:AA6">
    <cfRule type="cellIs" dxfId="234" priority="3" operator="lessThan">
      <formula>0</formula>
    </cfRule>
    <cfRule type="cellIs" dxfId="233" priority="2" operator="between">
      <formula>0</formula>
      <formula>0.9999999999</formula>
    </cfRule>
    <cfRule type="cellIs" dxfId="232" priority="1" operator="between">
      <formula>1</formula>
      <formula>4.9</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D43E-A4C3-41C6-8FB5-A1B9727969C3}">
  <dimension ref="A1:V176"/>
  <sheetViews>
    <sheetView zoomScale="96" workbookViewId="0">
      <selection activeCell="R5" sqref="R5"/>
    </sheetView>
  </sheetViews>
  <sheetFormatPr defaultRowHeight="13.8" x14ac:dyDescent="0.25"/>
  <cols>
    <col min="1" max="1" width="3.33203125" style="2" customWidth="1"/>
    <col min="2" max="2" width="10" style="2" bestFit="1" customWidth="1"/>
    <col min="3" max="3" width="15.33203125" style="2" bestFit="1" customWidth="1"/>
    <col min="4" max="4" width="8" style="2" customWidth="1"/>
    <col min="5" max="6" width="7.77734375" style="2" customWidth="1"/>
    <col min="7" max="7" width="8" style="2" customWidth="1"/>
    <col min="8" max="8" width="8.109375" style="2" bestFit="1" customWidth="1"/>
    <col min="9" max="9" width="6.5546875" style="2" bestFit="1" customWidth="1"/>
    <col min="10" max="10" width="11.33203125" style="3" customWidth="1"/>
    <col min="11" max="11" width="8" style="2" customWidth="1"/>
    <col min="12" max="12" width="8.6640625" style="8" customWidth="1"/>
    <col min="13" max="13" width="11.33203125" style="2" bestFit="1" customWidth="1"/>
    <col min="14" max="14" width="9.5546875" style="2" bestFit="1" customWidth="1"/>
    <col min="15" max="15" width="12.88671875" style="2" bestFit="1" customWidth="1"/>
    <col min="16" max="16" width="8.88671875" style="8"/>
    <col min="17" max="17" width="10.109375" style="8" bestFit="1" customWidth="1"/>
    <col min="18" max="18" width="11.33203125" style="3" customWidth="1"/>
    <col min="19" max="19" width="8.88671875" style="2"/>
    <col min="20" max="21" width="8.88671875" style="90"/>
    <col min="22" max="16384" width="8.88671875" style="2"/>
  </cols>
  <sheetData>
    <row r="1" spans="1:22" ht="29.25" customHeight="1" thickBot="1" x14ac:dyDescent="0.3">
      <c r="A1" s="750" t="s">
        <v>306</v>
      </c>
      <c r="B1" s="637"/>
      <c r="C1" s="637"/>
      <c r="D1" s="637"/>
      <c r="E1" s="637"/>
      <c r="F1" s="637"/>
      <c r="G1" s="637"/>
      <c r="H1" s="637"/>
      <c r="I1" s="637"/>
      <c r="J1" s="637"/>
      <c r="K1" s="637"/>
      <c r="L1" s="637"/>
      <c r="M1" s="617" t="s">
        <v>8</v>
      </c>
      <c r="N1" s="617"/>
      <c r="O1" s="617"/>
      <c r="P1" s="617" t="s">
        <v>134</v>
      </c>
      <c r="Q1" s="617"/>
      <c r="R1" s="617"/>
      <c r="S1" s="617"/>
      <c r="T1" s="617"/>
      <c r="U1" s="617"/>
      <c r="V1" s="618"/>
    </row>
    <row r="2" spans="1:22" ht="12" customHeight="1" x14ac:dyDescent="0.25">
      <c r="A2" s="751" t="s">
        <v>135</v>
      </c>
      <c r="B2" s="752"/>
      <c r="C2" s="753"/>
      <c r="D2" s="751" t="s">
        <v>136</v>
      </c>
      <c r="E2" s="752"/>
      <c r="F2" s="752"/>
      <c r="G2" s="752"/>
      <c r="H2" s="752"/>
      <c r="I2" s="752"/>
      <c r="J2" s="752"/>
      <c r="K2" s="752"/>
      <c r="L2" s="752"/>
      <c r="M2" s="493" t="s">
        <v>1</v>
      </c>
      <c r="N2" s="493" t="s">
        <v>3</v>
      </c>
      <c r="O2" s="493" t="s">
        <v>1</v>
      </c>
      <c r="P2" s="700" t="s">
        <v>132</v>
      </c>
      <c r="Q2" s="700" t="s">
        <v>133</v>
      </c>
      <c r="R2" s="701" t="s">
        <v>131</v>
      </c>
      <c r="S2" s="702" t="s">
        <v>302</v>
      </c>
      <c r="T2" s="698" t="s">
        <v>303</v>
      </c>
      <c r="U2" s="696" t="s">
        <v>304</v>
      </c>
      <c r="V2" s="696" t="s">
        <v>305</v>
      </c>
    </row>
    <row r="3" spans="1:22" ht="49.2" customHeight="1" x14ac:dyDescent="0.25">
      <c r="A3" s="5" t="s">
        <v>290</v>
      </c>
      <c r="B3" s="4" t="s">
        <v>137</v>
      </c>
      <c r="C3" s="4" t="s">
        <v>138</v>
      </c>
      <c r="D3" s="4" t="s">
        <v>139</v>
      </c>
      <c r="E3" s="4" t="s">
        <v>140</v>
      </c>
      <c r="F3" s="5" t="s">
        <v>291</v>
      </c>
      <c r="G3" s="5" t="s">
        <v>292</v>
      </c>
      <c r="H3" s="4" t="s">
        <v>141</v>
      </c>
      <c r="I3" s="4" t="s">
        <v>142</v>
      </c>
      <c r="J3" s="6" t="s">
        <v>143</v>
      </c>
      <c r="K3" s="4" t="s">
        <v>144</v>
      </c>
      <c r="L3" s="7" t="s">
        <v>145</v>
      </c>
      <c r="M3" s="493"/>
      <c r="N3" s="493"/>
      <c r="O3" s="493"/>
      <c r="P3" s="700"/>
      <c r="Q3" s="700"/>
      <c r="R3" s="701"/>
      <c r="S3" s="702"/>
      <c r="T3" s="699"/>
      <c r="U3" s="697"/>
      <c r="V3" s="697"/>
    </row>
    <row r="4" spans="1:22" ht="16.8" x14ac:dyDescent="0.25">
      <c r="A4" s="92">
        <v>1</v>
      </c>
      <c r="B4" s="55" t="s">
        <v>117</v>
      </c>
      <c r="C4" s="55" t="s">
        <v>117</v>
      </c>
      <c r="D4" s="55" t="s">
        <v>36</v>
      </c>
      <c r="E4" s="55" t="s">
        <v>19</v>
      </c>
      <c r="F4" s="92">
        <v>2.5</v>
      </c>
      <c r="G4" s="92">
        <v>7.86</v>
      </c>
      <c r="H4" s="55" t="s">
        <v>117</v>
      </c>
      <c r="I4" s="55" t="s">
        <v>117</v>
      </c>
      <c r="J4" s="55" t="s">
        <v>117</v>
      </c>
      <c r="K4" s="55" t="s">
        <v>117</v>
      </c>
      <c r="L4" s="55" t="s">
        <v>117</v>
      </c>
      <c r="M4" s="17" t="s">
        <v>2</v>
      </c>
      <c r="N4" s="17" t="s">
        <v>4</v>
      </c>
      <c r="O4" s="17" t="s">
        <v>4</v>
      </c>
      <c r="P4" s="93">
        <v>17.384</v>
      </c>
      <c r="Q4" s="93">
        <v>17.37</v>
      </c>
      <c r="R4" s="94" t="s">
        <v>117</v>
      </c>
      <c r="S4" s="102" t="s">
        <v>117</v>
      </c>
      <c r="T4" s="107">
        <f>P4-Q4</f>
        <v>1.3999999999999346E-2</v>
      </c>
      <c r="U4" s="107"/>
      <c r="V4" s="22" t="s">
        <v>117</v>
      </c>
    </row>
    <row r="5" spans="1:22" x14ac:dyDescent="0.25">
      <c r="A5" s="92">
        <v>2</v>
      </c>
      <c r="B5" s="55" t="s">
        <v>117</v>
      </c>
      <c r="C5" s="55" t="s">
        <v>117</v>
      </c>
      <c r="D5" s="55" t="s">
        <v>89</v>
      </c>
      <c r="E5" s="55" t="s">
        <v>19</v>
      </c>
      <c r="F5" s="92">
        <v>5.2</v>
      </c>
      <c r="G5" s="92">
        <v>7.86</v>
      </c>
      <c r="H5" s="55" t="s">
        <v>117</v>
      </c>
      <c r="I5" s="55" t="s">
        <v>117</v>
      </c>
      <c r="J5" s="55" t="s">
        <v>117</v>
      </c>
      <c r="K5" s="55" t="s">
        <v>117</v>
      </c>
      <c r="L5" s="55" t="s">
        <v>117</v>
      </c>
      <c r="M5" s="17" t="s">
        <v>2</v>
      </c>
      <c r="N5" s="17" t="s">
        <v>4</v>
      </c>
      <c r="O5" s="17" t="s">
        <v>4</v>
      </c>
      <c r="P5" s="93">
        <v>36.786999999999999</v>
      </c>
      <c r="Q5" s="93">
        <v>36.777000000000001</v>
      </c>
      <c r="R5" s="94" t="s">
        <v>117</v>
      </c>
      <c r="S5" s="102" t="s">
        <v>117</v>
      </c>
      <c r="T5" s="107">
        <f t="shared" ref="T5:T6" si="0">P5-Q5</f>
        <v>9.9999999999980105E-3</v>
      </c>
      <c r="U5" s="107"/>
      <c r="V5" s="22" t="s">
        <v>117</v>
      </c>
    </row>
    <row r="6" spans="1:22" ht="14.4" thickBot="1" x14ac:dyDescent="0.3">
      <c r="A6" s="95">
        <v>3</v>
      </c>
      <c r="B6" s="85" t="s">
        <v>117</v>
      </c>
      <c r="C6" s="85" t="s">
        <v>117</v>
      </c>
      <c r="D6" s="85" t="s">
        <v>46</v>
      </c>
      <c r="E6" s="85" t="s">
        <v>19</v>
      </c>
      <c r="F6" s="95">
        <v>3.4</v>
      </c>
      <c r="G6" s="95">
        <v>7.86</v>
      </c>
      <c r="H6" s="85" t="s">
        <v>117</v>
      </c>
      <c r="I6" s="85" t="s">
        <v>117</v>
      </c>
      <c r="J6" s="85" t="s">
        <v>117</v>
      </c>
      <c r="K6" s="85" t="s">
        <v>117</v>
      </c>
      <c r="L6" s="85" t="s">
        <v>117</v>
      </c>
      <c r="M6" s="42" t="s">
        <v>2</v>
      </c>
      <c r="N6" s="42" t="s">
        <v>4</v>
      </c>
      <c r="O6" s="42" t="s">
        <v>4</v>
      </c>
      <c r="P6" s="96">
        <v>24.774999999999999</v>
      </c>
      <c r="Q6" s="96">
        <v>24.763999999999999</v>
      </c>
      <c r="R6" s="97" t="s">
        <v>117</v>
      </c>
      <c r="S6" s="103" t="s">
        <v>117</v>
      </c>
      <c r="T6" s="108">
        <f t="shared" si="0"/>
        <v>1.0999999999999233E-2</v>
      </c>
      <c r="U6" s="108"/>
      <c r="V6" s="22" t="s">
        <v>117</v>
      </c>
    </row>
    <row r="7" spans="1:22" ht="21" customHeight="1" thickBot="1" x14ac:dyDescent="0.3">
      <c r="A7" s="667" t="s">
        <v>9</v>
      </c>
      <c r="B7" s="668"/>
      <c r="C7" s="668"/>
      <c r="D7" s="668"/>
      <c r="E7" s="668"/>
      <c r="F7" s="668"/>
      <c r="G7" s="668"/>
      <c r="H7" s="668"/>
      <c r="I7" s="668"/>
      <c r="J7" s="668"/>
      <c r="K7" s="668"/>
      <c r="L7" s="668"/>
      <c r="M7" s="668"/>
      <c r="N7" s="668"/>
      <c r="O7" s="668"/>
      <c r="P7" s="668"/>
      <c r="Q7" s="668"/>
      <c r="R7" s="668"/>
      <c r="S7" s="668"/>
      <c r="T7" s="668"/>
      <c r="U7" s="668"/>
      <c r="V7" s="669"/>
    </row>
    <row r="8" spans="1:22" ht="15" customHeight="1" thickBot="1" x14ac:dyDescent="0.3">
      <c r="A8" s="664" t="s">
        <v>146</v>
      </c>
      <c r="B8" s="665"/>
      <c r="C8" s="665"/>
      <c r="D8" s="665"/>
      <c r="E8" s="665"/>
      <c r="F8" s="665"/>
      <c r="G8" s="665"/>
      <c r="H8" s="665"/>
      <c r="I8" s="665"/>
      <c r="J8" s="665"/>
      <c r="K8" s="665"/>
      <c r="L8" s="665"/>
      <c r="M8" s="665"/>
      <c r="N8" s="665"/>
      <c r="O8" s="665"/>
      <c r="P8" s="665"/>
      <c r="Q8" s="665"/>
      <c r="R8" s="665"/>
      <c r="S8" s="665"/>
      <c r="T8" s="665"/>
      <c r="U8" s="665"/>
      <c r="V8" s="666"/>
    </row>
    <row r="9" spans="1:22" ht="18" customHeight="1" x14ac:dyDescent="0.25">
      <c r="A9" s="492">
        <v>1</v>
      </c>
      <c r="B9" s="99" t="s">
        <v>147</v>
      </c>
      <c r="C9" s="491" t="s">
        <v>148</v>
      </c>
      <c r="D9" s="491" t="s">
        <v>89</v>
      </c>
      <c r="E9" s="491" t="s">
        <v>19</v>
      </c>
      <c r="F9" s="64">
        <v>5.2</v>
      </c>
      <c r="G9" s="65">
        <v>7.86</v>
      </c>
      <c r="H9" s="491" t="s">
        <v>149</v>
      </c>
      <c r="I9" s="491" t="s">
        <v>14</v>
      </c>
      <c r="J9" s="39">
        <v>45130</v>
      </c>
      <c r="K9" s="20" t="s">
        <v>150</v>
      </c>
      <c r="L9" s="35">
        <v>36.511200000000002</v>
      </c>
      <c r="M9" s="67" t="s">
        <v>2</v>
      </c>
      <c r="N9" s="67" t="s">
        <v>4</v>
      </c>
      <c r="O9" s="67" t="s">
        <v>4</v>
      </c>
      <c r="P9" s="77">
        <v>36.427999999999997</v>
      </c>
      <c r="Q9" s="77">
        <v>36.299999999999997</v>
      </c>
      <c r="R9" s="78">
        <v>45852</v>
      </c>
      <c r="S9" s="104">
        <f>R9-J9</f>
        <v>722</v>
      </c>
      <c r="T9" s="109">
        <f>L9-Q9</f>
        <v>0.21120000000000516</v>
      </c>
      <c r="U9" s="109">
        <f>T9-0.01</f>
        <v>0.20120000000000515</v>
      </c>
      <c r="V9" s="9">
        <f>(U9*22270)/(S9*G9*F9)</f>
        <v>0.1518396192911467</v>
      </c>
    </row>
    <row r="10" spans="1:22" ht="18.3" customHeight="1" thickBot="1" x14ac:dyDescent="0.3">
      <c r="A10" s="492"/>
      <c r="B10" s="99" t="s">
        <v>147</v>
      </c>
      <c r="C10" s="491"/>
      <c r="D10" s="491"/>
      <c r="E10" s="491"/>
      <c r="F10" s="28">
        <v>5.2</v>
      </c>
      <c r="G10" s="29">
        <v>7.86</v>
      </c>
      <c r="H10" s="491"/>
      <c r="I10" s="491"/>
      <c r="J10" s="14">
        <v>45130</v>
      </c>
      <c r="K10" s="11" t="s">
        <v>151</v>
      </c>
      <c r="L10" s="34">
        <v>36.8093</v>
      </c>
      <c r="M10" s="42" t="s">
        <v>2</v>
      </c>
      <c r="N10" s="42" t="s">
        <v>4</v>
      </c>
      <c r="O10" s="42" t="s">
        <v>4</v>
      </c>
      <c r="P10" s="74">
        <v>36.726999999999997</v>
      </c>
      <c r="Q10" s="74">
        <v>36.584000000000003</v>
      </c>
      <c r="R10" s="75">
        <v>45852</v>
      </c>
      <c r="S10" s="105">
        <f t="shared" ref="S10:S73" si="1">R10-J10</f>
        <v>722</v>
      </c>
      <c r="T10" s="109">
        <f>L10-Q10</f>
        <v>0.22529999999999717</v>
      </c>
      <c r="U10" s="108">
        <f t="shared" ref="U10:U73" si="2">T10-0.01</f>
        <v>0.21529999999999716</v>
      </c>
      <c r="V10" s="76">
        <f t="shared" ref="V10:V73" si="3">(U10*22270)/(S10*G10*F10)</f>
        <v>0.16248046736273669</v>
      </c>
    </row>
    <row r="11" spans="1:22" ht="15" customHeight="1" thickBot="1" x14ac:dyDescent="0.3">
      <c r="A11" s="664" t="s">
        <v>152</v>
      </c>
      <c r="B11" s="665"/>
      <c r="C11" s="665"/>
      <c r="D11" s="665"/>
      <c r="E11" s="665"/>
      <c r="F11" s="665"/>
      <c r="G11" s="665"/>
      <c r="H11" s="665"/>
      <c r="I11" s="665"/>
      <c r="J11" s="665"/>
      <c r="K11" s="665"/>
      <c r="L11" s="665"/>
      <c r="M11" s="665"/>
      <c r="N11" s="665"/>
      <c r="O11" s="665"/>
      <c r="P11" s="665"/>
      <c r="Q11" s="665"/>
      <c r="R11" s="665"/>
      <c r="S11" s="665"/>
      <c r="T11" s="665"/>
      <c r="U11" s="665"/>
      <c r="V11" s="666"/>
    </row>
    <row r="12" spans="1:22" ht="30.75" customHeight="1" x14ac:dyDescent="0.25">
      <c r="A12" s="18">
        <v>2</v>
      </c>
      <c r="B12" s="19" t="s">
        <v>153</v>
      </c>
      <c r="C12" s="30" t="s">
        <v>293</v>
      </c>
      <c r="D12" s="20" t="s">
        <v>36</v>
      </c>
      <c r="E12" s="20" t="s">
        <v>19</v>
      </c>
      <c r="F12" s="64">
        <v>2.5</v>
      </c>
      <c r="G12" s="65">
        <v>7.86</v>
      </c>
      <c r="H12" s="20" t="s">
        <v>154</v>
      </c>
      <c r="I12" s="20" t="s">
        <v>14</v>
      </c>
      <c r="J12" s="21">
        <v>45130</v>
      </c>
      <c r="K12" s="20" t="s">
        <v>155</v>
      </c>
      <c r="L12" s="35">
        <v>17.386600000000001</v>
      </c>
      <c r="M12" s="67" t="s">
        <v>2</v>
      </c>
      <c r="N12" s="67" t="s">
        <v>4</v>
      </c>
      <c r="O12" s="67" t="s">
        <v>4</v>
      </c>
      <c r="P12" s="77">
        <v>16.591000000000001</v>
      </c>
      <c r="Q12" s="77">
        <v>16.507999999999999</v>
      </c>
      <c r="R12" s="78">
        <v>45852</v>
      </c>
      <c r="S12" s="104">
        <f t="shared" si="1"/>
        <v>722</v>
      </c>
      <c r="T12" s="109">
        <f>L12-Q12</f>
        <v>0.87860000000000227</v>
      </c>
      <c r="U12" s="109">
        <f t="shared" si="2"/>
        <v>0.86860000000000226</v>
      </c>
      <c r="V12" s="9">
        <f t="shared" si="3"/>
        <v>1.3634533702677782</v>
      </c>
    </row>
    <row r="13" spans="1:22" ht="33.299999999999997" customHeight="1" thickBot="1" x14ac:dyDescent="0.3">
      <c r="A13" s="10">
        <v>3</v>
      </c>
      <c r="B13" s="4" t="s">
        <v>156</v>
      </c>
      <c r="C13" s="11" t="s">
        <v>148</v>
      </c>
      <c r="D13" s="11" t="s">
        <v>36</v>
      </c>
      <c r="E13" s="11" t="s">
        <v>19</v>
      </c>
      <c r="F13" s="28">
        <v>2.5</v>
      </c>
      <c r="G13" s="29">
        <v>7.86</v>
      </c>
      <c r="H13" s="11" t="s">
        <v>157</v>
      </c>
      <c r="I13" s="11" t="s">
        <v>14</v>
      </c>
      <c r="J13" s="14">
        <v>45130</v>
      </c>
      <c r="K13" s="11" t="s">
        <v>158</v>
      </c>
      <c r="L13" s="34">
        <v>17.9588</v>
      </c>
      <c r="M13" s="42" t="s">
        <v>2</v>
      </c>
      <c r="N13" s="42" t="s">
        <v>4</v>
      </c>
      <c r="O13" s="42" t="s">
        <v>4</v>
      </c>
      <c r="P13" s="74">
        <v>17.97</v>
      </c>
      <c r="Q13" s="74">
        <v>17.931000000000001</v>
      </c>
      <c r="R13" s="75">
        <v>45852</v>
      </c>
      <c r="S13" s="105">
        <f t="shared" si="1"/>
        <v>722</v>
      </c>
      <c r="T13" s="109">
        <f>L13-Q13</f>
        <v>2.7799999999999159E-2</v>
      </c>
      <c r="U13" s="108">
        <f t="shared" si="2"/>
        <v>1.7799999999999157E-2</v>
      </c>
      <c r="V13" s="76">
        <f t="shared" si="3"/>
        <v>2.7940904893812162E-2</v>
      </c>
    </row>
    <row r="14" spans="1:22" ht="15" customHeight="1" thickBot="1" x14ac:dyDescent="0.3">
      <c r="A14" s="664" t="s">
        <v>159</v>
      </c>
      <c r="B14" s="665"/>
      <c r="C14" s="665"/>
      <c r="D14" s="665"/>
      <c r="E14" s="665"/>
      <c r="F14" s="665"/>
      <c r="G14" s="665"/>
      <c r="H14" s="665"/>
      <c r="I14" s="665"/>
      <c r="J14" s="665"/>
      <c r="K14" s="665"/>
      <c r="L14" s="665"/>
      <c r="M14" s="665"/>
      <c r="N14" s="665"/>
      <c r="O14" s="665"/>
      <c r="P14" s="665"/>
      <c r="Q14" s="665"/>
      <c r="R14" s="665"/>
      <c r="S14" s="665"/>
      <c r="T14" s="665"/>
      <c r="U14" s="665"/>
      <c r="V14" s="666"/>
    </row>
    <row r="15" spans="1:22" ht="33" customHeight="1" thickBot="1" x14ac:dyDescent="0.3">
      <c r="A15" s="112">
        <v>4</v>
      </c>
      <c r="B15" s="111" t="s">
        <v>160</v>
      </c>
      <c r="C15" s="38" t="s">
        <v>293</v>
      </c>
      <c r="D15" s="31" t="s">
        <v>36</v>
      </c>
      <c r="E15" s="31" t="s">
        <v>19</v>
      </c>
      <c r="F15" s="32">
        <v>2.5</v>
      </c>
      <c r="G15" s="33">
        <v>7.86</v>
      </c>
      <c r="H15" s="31" t="s">
        <v>157</v>
      </c>
      <c r="I15" s="31" t="s">
        <v>14</v>
      </c>
      <c r="J15" s="39">
        <v>45130</v>
      </c>
      <c r="K15" s="31" t="s">
        <v>161</v>
      </c>
      <c r="L15" s="68">
        <v>17.479500000000002</v>
      </c>
      <c r="M15" s="69" t="s">
        <v>123</v>
      </c>
      <c r="N15" s="69" t="s">
        <v>124</v>
      </c>
      <c r="O15" s="69" t="s">
        <v>120</v>
      </c>
      <c r="P15" s="88"/>
      <c r="Q15" s="88"/>
      <c r="R15" s="89"/>
      <c r="S15" s="106"/>
      <c r="T15" s="110"/>
      <c r="U15" s="110"/>
      <c r="V15" s="22" t="s">
        <v>117</v>
      </c>
    </row>
    <row r="16" spans="1:22" ht="15" customHeight="1" thickBot="1" x14ac:dyDescent="0.3">
      <c r="A16" s="664" t="s">
        <v>162</v>
      </c>
      <c r="B16" s="665"/>
      <c r="C16" s="665"/>
      <c r="D16" s="665"/>
      <c r="E16" s="665"/>
      <c r="F16" s="665"/>
      <c r="G16" s="665"/>
      <c r="H16" s="665"/>
      <c r="I16" s="665"/>
      <c r="J16" s="665"/>
      <c r="K16" s="665"/>
      <c r="L16" s="665"/>
      <c r="M16" s="665"/>
      <c r="N16" s="665"/>
      <c r="O16" s="665"/>
      <c r="P16" s="665"/>
      <c r="Q16" s="665"/>
      <c r="R16" s="665"/>
      <c r="S16" s="665"/>
      <c r="T16" s="665"/>
      <c r="U16" s="665"/>
      <c r="V16" s="666"/>
    </row>
    <row r="17" spans="1:22" ht="18" customHeight="1" x14ac:dyDescent="0.25">
      <c r="A17" s="492">
        <v>5</v>
      </c>
      <c r="B17" s="99" t="s">
        <v>163</v>
      </c>
      <c r="C17" s="732" t="s">
        <v>293</v>
      </c>
      <c r="D17" s="491" t="s">
        <v>89</v>
      </c>
      <c r="E17" s="491" t="s">
        <v>19</v>
      </c>
      <c r="F17" s="32">
        <v>5.2</v>
      </c>
      <c r="G17" s="33">
        <v>7.86</v>
      </c>
      <c r="H17" s="491" t="s">
        <v>164</v>
      </c>
      <c r="I17" s="491" t="s">
        <v>14</v>
      </c>
      <c r="J17" s="39">
        <v>45131</v>
      </c>
      <c r="K17" s="20" t="s">
        <v>165</v>
      </c>
      <c r="L17" s="35">
        <v>36.8855</v>
      </c>
      <c r="M17" s="67" t="s">
        <v>2</v>
      </c>
      <c r="N17" s="67" t="s">
        <v>4</v>
      </c>
      <c r="O17" s="67" t="s">
        <v>4</v>
      </c>
      <c r="P17" s="77">
        <v>36.659999999999997</v>
      </c>
      <c r="Q17" s="77">
        <v>36.552999999999997</v>
      </c>
      <c r="R17" s="78">
        <v>45848</v>
      </c>
      <c r="S17" s="104">
        <f t="shared" si="1"/>
        <v>717</v>
      </c>
      <c r="T17" s="109">
        <f t="shared" ref="T17:T22" si="4">L17-Q17</f>
        <v>0.33250000000000313</v>
      </c>
      <c r="U17" s="109">
        <f t="shared" si="2"/>
        <v>0.32250000000000312</v>
      </c>
      <c r="V17" s="9">
        <f t="shared" si="3"/>
        <v>0.2450783177770649</v>
      </c>
    </row>
    <row r="18" spans="1:22" ht="18.3" customHeight="1" x14ac:dyDescent="0.25">
      <c r="A18" s="479"/>
      <c r="B18" s="99" t="s">
        <v>163</v>
      </c>
      <c r="C18" s="733"/>
      <c r="D18" s="494"/>
      <c r="E18" s="494"/>
      <c r="F18" s="64">
        <v>5.2</v>
      </c>
      <c r="G18" s="33">
        <v>7.86</v>
      </c>
      <c r="H18" s="494"/>
      <c r="I18" s="494"/>
      <c r="J18" s="14">
        <v>45131</v>
      </c>
      <c r="K18" s="15" t="s">
        <v>166</v>
      </c>
      <c r="L18" s="16">
        <v>36.884099999999997</v>
      </c>
      <c r="M18" s="17" t="s">
        <v>2</v>
      </c>
      <c r="N18" s="17" t="s">
        <v>4</v>
      </c>
      <c r="O18" s="17" t="s">
        <v>4</v>
      </c>
      <c r="P18" s="70">
        <v>36.726999999999997</v>
      </c>
      <c r="Q18" s="70">
        <v>36.593000000000004</v>
      </c>
      <c r="R18" s="71">
        <v>45848</v>
      </c>
      <c r="S18" s="72">
        <f t="shared" si="1"/>
        <v>717</v>
      </c>
      <c r="T18" s="109">
        <f t="shared" si="4"/>
        <v>0.29109999999999303</v>
      </c>
      <c r="U18" s="107">
        <f t="shared" si="2"/>
        <v>0.28109999999999302</v>
      </c>
      <c r="V18" s="22">
        <f t="shared" si="3"/>
        <v>0.21361710116939708</v>
      </c>
    </row>
    <row r="19" spans="1:22" ht="18.3" customHeight="1" x14ac:dyDescent="0.25">
      <c r="A19" s="478">
        <v>6</v>
      </c>
      <c r="B19" s="98" t="s">
        <v>167</v>
      </c>
      <c r="C19" s="489" t="s">
        <v>148</v>
      </c>
      <c r="D19" s="489" t="s">
        <v>89</v>
      </c>
      <c r="E19" s="489" t="s">
        <v>168</v>
      </c>
      <c r="F19" s="28">
        <v>5.2</v>
      </c>
      <c r="G19" s="29">
        <v>7.86</v>
      </c>
      <c r="H19" s="489" t="s">
        <v>169</v>
      </c>
      <c r="I19" s="489" t="s">
        <v>14</v>
      </c>
      <c r="J19" s="14">
        <v>45131</v>
      </c>
      <c r="K19" s="15" t="s">
        <v>170</v>
      </c>
      <c r="L19" s="16">
        <v>36.8444</v>
      </c>
      <c r="M19" s="17" t="s">
        <v>2</v>
      </c>
      <c r="N19" s="17" t="s">
        <v>4</v>
      </c>
      <c r="O19" s="17" t="s">
        <v>4</v>
      </c>
      <c r="P19" s="70">
        <v>36.847999999999999</v>
      </c>
      <c r="Q19" s="70">
        <v>36.808</v>
      </c>
      <c r="R19" s="71">
        <v>45846</v>
      </c>
      <c r="S19" s="72">
        <f t="shared" si="1"/>
        <v>715</v>
      </c>
      <c r="T19" s="109">
        <f t="shared" si="4"/>
        <v>3.6400000000000432E-2</v>
      </c>
      <c r="U19" s="107">
        <f t="shared" si="2"/>
        <v>2.640000000000043E-2</v>
      </c>
      <c r="V19" s="22">
        <f t="shared" si="3"/>
        <v>2.0118343195266598E-2</v>
      </c>
    </row>
    <row r="20" spans="1:22" ht="18.3" customHeight="1" x14ac:dyDescent="0.25">
      <c r="A20" s="479"/>
      <c r="B20" s="98" t="s">
        <v>167</v>
      </c>
      <c r="C20" s="494"/>
      <c r="D20" s="494"/>
      <c r="E20" s="494"/>
      <c r="F20" s="64">
        <v>5.2</v>
      </c>
      <c r="G20" s="33">
        <v>7.86</v>
      </c>
      <c r="H20" s="494"/>
      <c r="I20" s="494"/>
      <c r="J20" s="14">
        <v>45131</v>
      </c>
      <c r="K20" s="15" t="s">
        <v>171</v>
      </c>
      <c r="L20" s="16">
        <v>36.944099999999999</v>
      </c>
      <c r="M20" s="17" t="s">
        <v>2</v>
      </c>
      <c r="N20" s="17" t="s">
        <v>4</v>
      </c>
      <c r="O20" s="17" t="s">
        <v>4</v>
      </c>
      <c r="P20" s="70">
        <v>36.948999999999998</v>
      </c>
      <c r="Q20" s="70">
        <v>36.923999999999999</v>
      </c>
      <c r="R20" s="71">
        <v>45846</v>
      </c>
      <c r="S20" s="72">
        <f t="shared" si="1"/>
        <v>715</v>
      </c>
      <c r="T20" s="109">
        <f t="shared" si="4"/>
        <v>2.0099999999999341E-2</v>
      </c>
      <c r="U20" s="107">
        <f t="shared" si="2"/>
        <v>1.009999999999934E-2</v>
      </c>
      <c r="V20" s="22">
        <f t="shared" si="3"/>
        <v>7.6967903890975773E-3</v>
      </c>
    </row>
    <row r="21" spans="1:22" ht="18.3" customHeight="1" x14ac:dyDescent="0.25">
      <c r="A21" s="478">
        <v>7</v>
      </c>
      <c r="B21" s="98" t="s">
        <v>172</v>
      </c>
      <c r="C21" s="489" t="s">
        <v>148</v>
      </c>
      <c r="D21" s="489" t="s">
        <v>89</v>
      </c>
      <c r="E21" s="489" t="s">
        <v>168</v>
      </c>
      <c r="F21" s="28">
        <v>5.2</v>
      </c>
      <c r="G21" s="29">
        <v>7.86</v>
      </c>
      <c r="H21" s="489" t="s">
        <v>173</v>
      </c>
      <c r="I21" s="489" t="s">
        <v>14</v>
      </c>
      <c r="J21" s="14">
        <v>45130</v>
      </c>
      <c r="K21" s="15" t="s">
        <v>174</v>
      </c>
      <c r="L21" s="16">
        <v>36.9255</v>
      </c>
      <c r="M21" s="17" t="s">
        <v>2</v>
      </c>
      <c r="N21" s="17" t="s">
        <v>4</v>
      </c>
      <c r="O21" s="17" t="s">
        <v>4</v>
      </c>
      <c r="P21" s="70">
        <v>36.936999999999998</v>
      </c>
      <c r="Q21" s="70">
        <v>36.896999999999998</v>
      </c>
      <c r="R21" s="71">
        <v>45846</v>
      </c>
      <c r="S21" s="72">
        <f t="shared" si="1"/>
        <v>716</v>
      </c>
      <c r="T21" s="109">
        <f t="shared" si="4"/>
        <v>2.850000000000108E-2</v>
      </c>
      <c r="U21" s="107">
        <f t="shared" si="2"/>
        <v>1.8500000000001078E-2</v>
      </c>
      <c r="V21" s="22">
        <f t="shared" si="3"/>
        <v>1.4078391347945239E-2</v>
      </c>
    </row>
    <row r="22" spans="1:22" ht="18.3" customHeight="1" thickBot="1" x14ac:dyDescent="0.3">
      <c r="A22" s="492"/>
      <c r="B22" s="98" t="s">
        <v>172</v>
      </c>
      <c r="C22" s="491"/>
      <c r="D22" s="491"/>
      <c r="E22" s="491"/>
      <c r="F22" s="32">
        <v>5.2</v>
      </c>
      <c r="G22" s="33">
        <v>7.86</v>
      </c>
      <c r="H22" s="491"/>
      <c r="I22" s="491"/>
      <c r="J22" s="14">
        <v>45130</v>
      </c>
      <c r="K22" s="11" t="s">
        <v>175</v>
      </c>
      <c r="L22" s="34">
        <v>36.927</v>
      </c>
      <c r="M22" s="42" t="s">
        <v>2</v>
      </c>
      <c r="N22" s="42" t="s">
        <v>4</v>
      </c>
      <c r="O22" s="42" t="s">
        <v>4</v>
      </c>
      <c r="P22" s="74">
        <v>36.909999999999997</v>
      </c>
      <c r="Q22" s="74">
        <v>36.865000000000002</v>
      </c>
      <c r="R22" s="75">
        <v>45846</v>
      </c>
      <c r="S22" s="105">
        <f t="shared" si="1"/>
        <v>716</v>
      </c>
      <c r="T22" s="109">
        <f t="shared" si="4"/>
        <v>6.1999999999997613E-2</v>
      </c>
      <c r="U22" s="108">
        <f t="shared" si="2"/>
        <v>5.1999999999997611E-2</v>
      </c>
      <c r="V22" s="76">
        <f t="shared" si="3"/>
        <v>3.9571694599625735E-2</v>
      </c>
    </row>
    <row r="23" spans="1:22" ht="15" customHeight="1" thickBot="1" x14ac:dyDescent="0.3">
      <c r="A23" s="664" t="s">
        <v>176</v>
      </c>
      <c r="B23" s="665"/>
      <c r="C23" s="665"/>
      <c r="D23" s="665"/>
      <c r="E23" s="665"/>
      <c r="F23" s="665"/>
      <c r="G23" s="665"/>
      <c r="H23" s="665"/>
      <c r="I23" s="665"/>
      <c r="J23" s="665"/>
      <c r="K23" s="665"/>
      <c r="L23" s="665"/>
      <c r="M23" s="665"/>
      <c r="N23" s="665"/>
      <c r="O23" s="665"/>
      <c r="P23" s="665"/>
      <c r="Q23" s="665"/>
      <c r="R23" s="665"/>
      <c r="S23" s="665"/>
      <c r="T23" s="665"/>
      <c r="U23" s="665"/>
      <c r="V23" s="666"/>
    </row>
    <row r="24" spans="1:22" ht="18" customHeight="1" x14ac:dyDescent="0.25">
      <c r="A24" s="408">
        <v>8</v>
      </c>
      <c r="B24" s="113" t="s">
        <v>177</v>
      </c>
      <c r="C24" s="491" t="s">
        <v>148</v>
      </c>
      <c r="D24" s="746" t="s">
        <v>89</v>
      </c>
      <c r="E24" s="491" t="s">
        <v>19</v>
      </c>
      <c r="F24" s="62">
        <v>5.2</v>
      </c>
      <c r="G24" s="62">
        <v>7.86</v>
      </c>
      <c r="H24" s="491" t="s">
        <v>169</v>
      </c>
      <c r="I24" s="491" t="s">
        <v>14</v>
      </c>
      <c r="J24" s="39">
        <v>45129</v>
      </c>
      <c r="K24" s="20" t="s">
        <v>178</v>
      </c>
      <c r="L24" s="35">
        <v>37.090000000000003</v>
      </c>
      <c r="M24" s="67" t="s">
        <v>2</v>
      </c>
      <c r="N24" s="67" t="s">
        <v>4</v>
      </c>
      <c r="O24" s="67" t="s">
        <v>4</v>
      </c>
      <c r="P24" s="77">
        <v>36.884999999999998</v>
      </c>
      <c r="Q24" s="77">
        <v>36.597000000000001</v>
      </c>
      <c r="R24" s="78">
        <v>45855</v>
      </c>
      <c r="S24" s="104">
        <f t="shared" si="1"/>
        <v>726</v>
      </c>
      <c r="T24" s="109">
        <f t="shared" ref="T24:T32" si="5">L24-Q24</f>
        <v>0.4930000000000021</v>
      </c>
      <c r="U24" s="109">
        <f t="shared" si="2"/>
        <v>0.48300000000000209</v>
      </c>
      <c r="V24" s="9">
        <f t="shared" si="3"/>
        <v>0.36249735113371634</v>
      </c>
    </row>
    <row r="25" spans="1:22" ht="18.3" customHeight="1" x14ac:dyDescent="0.25">
      <c r="A25" s="402"/>
      <c r="B25" s="113" t="s">
        <v>177</v>
      </c>
      <c r="C25" s="491"/>
      <c r="D25" s="746"/>
      <c r="E25" s="491"/>
      <c r="F25" s="60">
        <v>5.2</v>
      </c>
      <c r="G25" s="60">
        <v>7.86</v>
      </c>
      <c r="H25" s="491"/>
      <c r="I25" s="491"/>
      <c r="J25" s="14">
        <v>45130</v>
      </c>
      <c r="K25" s="11" t="s">
        <v>179</v>
      </c>
      <c r="L25" s="34">
        <v>37.015300000000003</v>
      </c>
      <c r="M25" s="17" t="s">
        <v>2</v>
      </c>
      <c r="N25" s="17" t="s">
        <v>4</v>
      </c>
      <c r="O25" s="17" t="s">
        <v>4</v>
      </c>
      <c r="P25" s="70">
        <v>36.637999999999998</v>
      </c>
      <c r="Q25" s="70">
        <v>36.540999999999997</v>
      </c>
      <c r="R25" s="71">
        <v>45855</v>
      </c>
      <c r="S25" s="72">
        <f t="shared" si="1"/>
        <v>725</v>
      </c>
      <c r="T25" s="109">
        <f t="shared" si="5"/>
        <v>0.47430000000000661</v>
      </c>
      <c r="U25" s="107">
        <f t="shared" si="2"/>
        <v>0.4643000000000066</v>
      </c>
      <c r="V25" s="22">
        <f t="shared" si="3"/>
        <v>0.3489434129089351</v>
      </c>
    </row>
    <row r="26" spans="1:22" ht="18.75" customHeight="1" x14ac:dyDescent="0.25">
      <c r="A26" s="492">
        <v>9</v>
      </c>
      <c r="B26" s="99" t="s">
        <v>180</v>
      </c>
      <c r="C26" s="491" t="s">
        <v>148</v>
      </c>
      <c r="D26" s="746" t="s">
        <v>89</v>
      </c>
      <c r="E26" s="491" t="s">
        <v>168</v>
      </c>
      <c r="F26" s="62">
        <v>5.2</v>
      </c>
      <c r="G26" s="62">
        <v>7.86</v>
      </c>
      <c r="H26" s="491" t="s">
        <v>169</v>
      </c>
      <c r="I26" s="491" t="s">
        <v>14</v>
      </c>
      <c r="J26" s="39">
        <v>45129</v>
      </c>
      <c r="K26" s="20" t="s">
        <v>181</v>
      </c>
      <c r="L26" s="35">
        <v>36.760199999999998</v>
      </c>
      <c r="M26" s="114" t="s">
        <v>2</v>
      </c>
      <c r="N26" s="114" t="s">
        <v>4</v>
      </c>
      <c r="O26" s="115" t="s">
        <v>4</v>
      </c>
      <c r="P26" s="70">
        <v>36.389000000000003</v>
      </c>
      <c r="Q26" s="70">
        <v>35.92</v>
      </c>
      <c r="R26" s="71">
        <v>45894</v>
      </c>
      <c r="S26" s="72">
        <f t="shared" si="1"/>
        <v>765</v>
      </c>
      <c r="T26" s="107">
        <f t="shared" si="5"/>
        <v>0.84019999999999584</v>
      </c>
      <c r="U26" s="107">
        <f t="shared" si="2"/>
        <v>0.83019999999999583</v>
      </c>
      <c r="V26" s="22">
        <f t="shared" si="3"/>
        <v>0.59131054131053817</v>
      </c>
    </row>
    <row r="27" spans="1:22" ht="18.3" customHeight="1" x14ac:dyDescent="0.25">
      <c r="A27" s="479"/>
      <c r="B27" s="99" t="s">
        <v>180</v>
      </c>
      <c r="C27" s="494"/>
      <c r="D27" s="749"/>
      <c r="E27" s="494"/>
      <c r="F27" s="60">
        <v>5.2</v>
      </c>
      <c r="G27" s="60">
        <v>7.86</v>
      </c>
      <c r="H27" s="494"/>
      <c r="I27" s="494"/>
      <c r="J27" s="39">
        <v>45129</v>
      </c>
      <c r="K27" s="15" t="s">
        <v>182</v>
      </c>
      <c r="L27" s="16">
        <v>37.000700000000002</v>
      </c>
      <c r="M27" s="114" t="s">
        <v>2</v>
      </c>
      <c r="N27" s="114" t="s">
        <v>4</v>
      </c>
      <c r="O27" s="115" t="s">
        <v>4</v>
      </c>
      <c r="P27" s="70">
        <v>36.67</v>
      </c>
      <c r="Q27" s="70">
        <v>36.173999999999999</v>
      </c>
      <c r="R27" s="71">
        <v>45894</v>
      </c>
      <c r="S27" s="72">
        <f t="shared" si="1"/>
        <v>765</v>
      </c>
      <c r="T27" s="107">
        <f t="shared" si="5"/>
        <v>0.82670000000000243</v>
      </c>
      <c r="U27" s="107">
        <f t="shared" si="2"/>
        <v>0.81670000000000242</v>
      </c>
      <c r="V27" s="22">
        <f>(U27*22270)/(S27*G27*F27)</f>
        <v>0.58169515669515837</v>
      </c>
    </row>
    <row r="28" spans="1:22" ht="43.8" customHeight="1" x14ac:dyDescent="0.25">
      <c r="A28" s="23">
        <v>10</v>
      </c>
      <c r="B28" s="24" t="s">
        <v>183</v>
      </c>
      <c r="C28" s="15" t="s">
        <v>148</v>
      </c>
      <c r="D28" s="36" t="s">
        <v>36</v>
      </c>
      <c r="E28" s="15" t="s">
        <v>19</v>
      </c>
      <c r="F28" s="12">
        <v>2.5</v>
      </c>
      <c r="G28" s="13">
        <v>7.86</v>
      </c>
      <c r="H28" s="15" t="s">
        <v>184</v>
      </c>
      <c r="I28" s="15" t="s">
        <v>14</v>
      </c>
      <c r="J28" s="26">
        <v>45128</v>
      </c>
      <c r="K28" s="15" t="s">
        <v>185</v>
      </c>
      <c r="L28" s="16">
        <v>17.154499999999999</v>
      </c>
      <c r="M28" s="17" t="s">
        <v>2</v>
      </c>
      <c r="N28" s="17" t="s">
        <v>4</v>
      </c>
      <c r="O28" s="17" t="s">
        <v>4</v>
      </c>
      <c r="P28" s="70">
        <v>16.526</v>
      </c>
      <c r="Q28" s="70">
        <v>16.329000000000001</v>
      </c>
      <c r="R28" s="71">
        <v>45854</v>
      </c>
      <c r="S28" s="72">
        <f t="shared" si="1"/>
        <v>726</v>
      </c>
      <c r="T28" s="109">
        <f t="shared" si="5"/>
        <v>0.82549999999999812</v>
      </c>
      <c r="U28" s="107">
        <f t="shared" si="2"/>
        <v>0.81549999999999812</v>
      </c>
      <c r="V28" s="22">
        <f t="shared" si="3"/>
        <v>1.273048668503211</v>
      </c>
    </row>
    <row r="29" spans="1:22" ht="18.3" customHeight="1" x14ac:dyDescent="0.25">
      <c r="A29" s="478">
        <v>11</v>
      </c>
      <c r="B29" s="98" t="s">
        <v>186</v>
      </c>
      <c r="C29" s="489" t="s">
        <v>187</v>
      </c>
      <c r="D29" s="748" t="s">
        <v>89</v>
      </c>
      <c r="E29" s="489" t="s">
        <v>168</v>
      </c>
      <c r="F29" s="62">
        <v>5.2</v>
      </c>
      <c r="G29" s="62">
        <v>7.86</v>
      </c>
      <c r="H29" s="489" t="s">
        <v>188</v>
      </c>
      <c r="I29" s="489" t="s">
        <v>14</v>
      </c>
      <c r="J29" s="14">
        <v>45128</v>
      </c>
      <c r="K29" s="15" t="s">
        <v>189</v>
      </c>
      <c r="L29" s="16">
        <v>36.852800000000002</v>
      </c>
      <c r="M29" s="17" t="s">
        <v>2</v>
      </c>
      <c r="N29" s="17" t="s">
        <v>4</v>
      </c>
      <c r="O29" s="17" t="s">
        <v>4</v>
      </c>
      <c r="P29" s="70">
        <v>36.795000000000002</v>
      </c>
      <c r="Q29" s="70">
        <v>36.682000000000002</v>
      </c>
      <c r="R29" s="71">
        <v>45854</v>
      </c>
      <c r="S29" s="72">
        <f t="shared" si="1"/>
        <v>726</v>
      </c>
      <c r="T29" s="109">
        <f t="shared" si="5"/>
        <v>0.17079999999999984</v>
      </c>
      <c r="U29" s="107">
        <f t="shared" si="2"/>
        <v>0.16079999999999983</v>
      </c>
      <c r="V29" s="22">
        <f t="shared" si="3"/>
        <v>0.1206823479550751</v>
      </c>
    </row>
    <row r="30" spans="1:22" ht="18.3" customHeight="1" x14ac:dyDescent="0.25">
      <c r="A30" s="479"/>
      <c r="B30" s="98" t="s">
        <v>186</v>
      </c>
      <c r="C30" s="494"/>
      <c r="D30" s="749"/>
      <c r="E30" s="494"/>
      <c r="F30" s="60">
        <v>5.2</v>
      </c>
      <c r="G30" s="60">
        <v>7.86</v>
      </c>
      <c r="H30" s="494"/>
      <c r="I30" s="494"/>
      <c r="J30" s="14">
        <v>45128</v>
      </c>
      <c r="K30" s="15" t="s">
        <v>190</v>
      </c>
      <c r="L30" s="16">
        <v>36.823900000000002</v>
      </c>
      <c r="M30" s="17" t="s">
        <v>2</v>
      </c>
      <c r="N30" s="17" t="s">
        <v>4</v>
      </c>
      <c r="O30" s="17" t="s">
        <v>4</v>
      </c>
      <c r="P30" s="70">
        <v>36.72</v>
      </c>
      <c r="Q30" s="70">
        <v>36.652000000000001</v>
      </c>
      <c r="R30" s="71">
        <v>45854</v>
      </c>
      <c r="S30" s="72">
        <f t="shared" si="1"/>
        <v>726</v>
      </c>
      <c r="T30" s="109">
        <f t="shared" si="5"/>
        <v>0.17190000000000083</v>
      </c>
      <c r="U30" s="107">
        <f t="shared" si="2"/>
        <v>0.16190000000000082</v>
      </c>
      <c r="V30" s="22">
        <f t="shared" si="3"/>
        <v>0.12150791128063915</v>
      </c>
    </row>
    <row r="31" spans="1:22" ht="21.75" customHeight="1" x14ac:dyDescent="0.25">
      <c r="A31" s="478">
        <v>12</v>
      </c>
      <c r="B31" s="480" t="s">
        <v>191</v>
      </c>
      <c r="C31" s="489" t="s">
        <v>148</v>
      </c>
      <c r="D31" s="748" t="s">
        <v>192</v>
      </c>
      <c r="E31" s="489" t="s">
        <v>19</v>
      </c>
      <c r="F31" s="28">
        <v>2.5</v>
      </c>
      <c r="G31" s="29">
        <v>7.86</v>
      </c>
      <c r="H31" s="489" t="s">
        <v>193</v>
      </c>
      <c r="I31" s="489" t="s">
        <v>14</v>
      </c>
      <c r="J31" s="14">
        <v>45129</v>
      </c>
      <c r="K31" s="15" t="s">
        <v>194</v>
      </c>
      <c r="L31" s="16">
        <v>36.9129</v>
      </c>
      <c r="M31" s="114" t="s">
        <v>2</v>
      </c>
      <c r="N31" s="114" t="s">
        <v>4</v>
      </c>
      <c r="O31" s="115" t="s">
        <v>4</v>
      </c>
      <c r="P31" s="70">
        <v>36.945999999999998</v>
      </c>
      <c r="Q31" s="70">
        <v>36.799999999999997</v>
      </c>
      <c r="R31" s="71">
        <v>45892</v>
      </c>
      <c r="S31" s="72">
        <f t="shared" si="1"/>
        <v>763</v>
      </c>
      <c r="T31" s="107">
        <f t="shared" si="5"/>
        <v>0.11290000000000333</v>
      </c>
      <c r="U31" s="107">
        <f t="shared" si="2"/>
        <v>0.10290000000000334</v>
      </c>
      <c r="V31" s="22">
        <f t="shared" si="3"/>
        <v>0.15284403669725266</v>
      </c>
    </row>
    <row r="32" spans="1:22" ht="21.75" customHeight="1" x14ac:dyDescent="0.25">
      <c r="A32" s="479"/>
      <c r="B32" s="481"/>
      <c r="C32" s="494"/>
      <c r="D32" s="749"/>
      <c r="E32" s="494"/>
      <c r="F32" s="28">
        <v>2.5</v>
      </c>
      <c r="G32" s="29">
        <v>7.86</v>
      </c>
      <c r="H32" s="494"/>
      <c r="I32" s="494"/>
      <c r="J32" s="14">
        <v>45129</v>
      </c>
      <c r="K32" s="15" t="s">
        <v>195</v>
      </c>
      <c r="L32" s="16">
        <v>37.032400000000003</v>
      </c>
      <c r="M32" s="114" t="s">
        <v>2</v>
      </c>
      <c r="N32" s="114" t="s">
        <v>4</v>
      </c>
      <c r="O32" s="115" t="s">
        <v>4</v>
      </c>
      <c r="P32" s="70">
        <v>37.055999999999997</v>
      </c>
      <c r="Q32" s="70">
        <v>36.926000000000002</v>
      </c>
      <c r="R32" s="71">
        <v>45892</v>
      </c>
      <c r="S32" s="72">
        <f t="shared" si="1"/>
        <v>763</v>
      </c>
      <c r="T32" s="107">
        <f t="shared" si="5"/>
        <v>0.10640000000000072</v>
      </c>
      <c r="U32" s="107">
        <f t="shared" si="2"/>
        <v>9.6400000000000721E-2</v>
      </c>
      <c r="V32" s="22">
        <f t="shared" si="3"/>
        <v>0.14318916557448771</v>
      </c>
    </row>
    <row r="33" spans="1:22" ht="18.3" customHeight="1" x14ac:dyDescent="0.25">
      <c r="A33" s="478">
        <v>13</v>
      </c>
      <c r="B33" s="480" t="s">
        <v>196</v>
      </c>
      <c r="C33" s="737" t="s">
        <v>294</v>
      </c>
      <c r="D33" s="489" t="s">
        <v>192</v>
      </c>
      <c r="E33" s="489" t="s">
        <v>168</v>
      </c>
      <c r="F33" s="62">
        <v>5.2</v>
      </c>
      <c r="G33" s="62">
        <v>7.86</v>
      </c>
      <c r="H33" s="489" t="s">
        <v>197</v>
      </c>
      <c r="I33" s="489" t="s">
        <v>14</v>
      </c>
      <c r="J33" s="744">
        <v>45129</v>
      </c>
      <c r="K33" s="25"/>
      <c r="L33" s="37"/>
      <c r="M33" s="27" t="s">
        <v>123</v>
      </c>
      <c r="N33" s="27" t="s">
        <v>124</v>
      </c>
      <c r="O33" s="73" t="s">
        <v>120</v>
      </c>
      <c r="P33" s="70"/>
      <c r="Q33" s="70"/>
      <c r="R33" s="71"/>
      <c r="S33" s="72"/>
      <c r="T33" s="107"/>
      <c r="U33" s="107"/>
      <c r="V33" s="22" t="s">
        <v>117</v>
      </c>
    </row>
    <row r="34" spans="1:22" ht="18.3" customHeight="1" thickBot="1" x14ac:dyDescent="0.3">
      <c r="A34" s="492"/>
      <c r="B34" s="493"/>
      <c r="C34" s="732"/>
      <c r="D34" s="491"/>
      <c r="E34" s="491"/>
      <c r="F34" s="60">
        <v>5.2</v>
      </c>
      <c r="G34" s="60">
        <v>7.86</v>
      </c>
      <c r="H34" s="491"/>
      <c r="I34" s="491"/>
      <c r="J34" s="747"/>
      <c r="K34" s="5"/>
      <c r="L34" s="79"/>
      <c r="M34" s="80" t="s">
        <v>123</v>
      </c>
      <c r="N34" s="80" t="s">
        <v>124</v>
      </c>
      <c r="O34" s="81" t="s">
        <v>120</v>
      </c>
      <c r="P34" s="74"/>
      <c r="Q34" s="74"/>
      <c r="R34" s="75"/>
      <c r="S34" s="105"/>
      <c r="T34" s="108"/>
      <c r="U34" s="108"/>
      <c r="V34" s="22" t="s">
        <v>117</v>
      </c>
    </row>
    <row r="35" spans="1:22" ht="15" customHeight="1" thickBot="1" x14ac:dyDescent="0.3">
      <c r="A35" s="664" t="s">
        <v>198</v>
      </c>
      <c r="B35" s="665"/>
      <c r="C35" s="665"/>
      <c r="D35" s="665"/>
      <c r="E35" s="665"/>
      <c r="F35" s="665"/>
      <c r="G35" s="665"/>
      <c r="H35" s="665"/>
      <c r="I35" s="665"/>
      <c r="J35" s="665"/>
      <c r="K35" s="665"/>
      <c r="L35" s="665"/>
      <c r="M35" s="665"/>
      <c r="N35" s="665"/>
      <c r="O35" s="665"/>
      <c r="P35" s="665"/>
      <c r="Q35" s="665"/>
      <c r="R35" s="665"/>
      <c r="S35" s="665"/>
      <c r="T35" s="665"/>
      <c r="U35" s="665"/>
      <c r="V35" s="666"/>
    </row>
    <row r="36" spans="1:22" ht="19.2" customHeight="1" x14ac:dyDescent="0.25">
      <c r="A36" s="492">
        <v>14</v>
      </c>
      <c r="B36" s="99" t="s">
        <v>199</v>
      </c>
      <c r="C36" s="491" t="s">
        <v>148</v>
      </c>
      <c r="D36" s="491" t="s">
        <v>192</v>
      </c>
      <c r="E36" s="491" t="s">
        <v>168</v>
      </c>
      <c r="F36" s="86">
        <v>5.2</v>
      </c>
      <c r="G36" s="86">
        <v>7.86</v>
      </c>
      <c r="H36" s="491" t="s">
        <v>200</v>
      </c>
      <c r="I36" s="491" t="s">
        <v>14</v>
      </c>
      <c r="J36" s="39">
        <v>45129</v>
      </c>
      <c r="K36" s="20" t="s">
        <v>201</v>
      </c>
      <c r="L36" s="35">
        <v>36.616100000000003</v>
      </c>
      <c r="M36" s="67" t="s">
        <v>2</v>
      </c>
      <c r="N36" s="67" t="s">
        <v>4</v>
      </c>
      <c r="O36" s="67" t="s">
        <v>4</v>
      </c>
      <c r="P36" s="77">
        <v>36.633000000000003</v>
      </c>
      <c r="Q36" s="77">
        <v>36.604999999999997</v>
      </c>
      <c r="R36" s="78">
        <v>45855</v>
      </c>
      <c r="S36" s="104">
        <f t="shared" si="1"/>
        <v>726</v>
      </c>
      <c r="T36" s="109">
        <f>L36-Q36</f>
        <v>1.1100000000006105E-2</v>
      </c>
      <c r="U36" s="109">
        <f t="shared" si="2"/>
        <v>1.1000000000061048E-3</v>
      </c>
      <c r="V36" s="9">
        <f t="shared" si="3"/>
        <v>8.2556332556790713E-4</v>
      </c>
    </row>
    <row r="37" spans="1:22" ht="19.5" customHeight="1" thickBot="1" x14ac:dyDescent="0.3">
      <c r="A37" s="492"/>
      <c r="B37" s="99" t="s">
        <v>199</v>
      </c>
      <c r="C37" s="491"/>
      <c r="D37" s="491"/>
      <c r="E37" s="491"/>
      <c r="F37" s="60">
        <v>5.2</v>
      </c>
      <c r="G37" s="60">
        <v>7.86</v>
      </c>
      <c r="H37" s="491"/>
      <c r="I37" s="491"/>
      <c r="J37" s="39">
        <v>45129</v>
      </c>
      <c r="K37" s="11" t="s">
        <v>202</v>
      </c>
      <c r="L37" s="34">
        <v>36.902299999999997</v>
      </c>
      <c r="M37" s="42" t="s">
        <v>2</v>
      </c>
      <c r="N37" s="42" t="s">
        <v>4</v>
      </c>
      <c r="O37" s="42" t="s">
        <v>4</v>
      </c>
      <c r="P37" s="74">
        <v>36.92</v>
      </c>
      <c r="Q37" s="74">
        <v>36.895000000000003</v>
      </c>
      <c r="R37" s="75">
        <v>45855</v>
      </c>
      <c r="S37" s="105">
        <f t="shared" si="1"/>
        <v>726</v>
      </c>
      <c r="T37" s="109">
        <f>L37-Q37</f>
        <v>7.2999999999936449E-3</v>
      </c>
      <c r="U37" s="108">
        <f t="shared" si="2"/>
        <v>-2.7000000000063553E-3</v>
      </c>
      <c r="V37" s="76">
        <f t="shared" si="3"/>
        <v>-2.0263827082056592E-3</v>
      </c>
    </row>
    <row r="38" spans="1:22" ht="15" customHeight="1" thickBot="1" x14ac:dyDescent="0.3">
      <c r="A38" s="664" t="s">
        <v>203</v>
      </c>
      <c r="B38" s="665"/>
      <c r="C38" s="665"/>
      <c r="D38" s="665"/>
      <c r="E38" s="665"/>
      <c r="F38" s="665"/>
      <c r="G38" s="665"/>
      <c r="H38" s="665"/>
      <c r="I38" s="665"/>
      <c r="J38" s="665"/>
      <c r="K38" s="665"/>
      <c r="L38" s="665"/>
      <c r="M38" s="665"/>
      <c r="N38" s="665"/>
      <c r="O38" s="665"/>
      <c r="P38" s="665"/>
      <c r="Q38" s="665"/>
      <c r="R38" s="665"/>
      <c r="S38" s="665"/>
      <c r="T38" s="665"/>
      <c r="U38" s="665"/>
      <c r="V38" s="666"/>
    </row>
    <row r="39" spans="1:22" ht="18" customHeight="1" x14ac:dyDescent="0.25">
      <c r="A39" s="492">
        <v>15</v>
      </c>
      <c r="B39" s="99" t="s">
        <v>204</v>
      </c>
      <c r="C39" s="491" t="s">
        <v>148</v>
      </c>
      <c r="D39" s="746" t="s">
        <v>89</v>
      </c>
      <c r="E39" s="491" t="s">
        <v>19</v>
      </c>
      <c r="F39" s="62">
        <v>5.2</v>
      </c>
      <c r="G39" s="62">
        <v>7.86</v>
      </c>
      <c r="H39" s="491" t="s">
        <v>169</v>
      </c>
      <c r="I39" s="491" t="s">
        <v>14</v>
      </c>
      <c r="J39" s="39">
        <v>45128</v>
      </c>
      <c r="K39" s="20" t="s">
        <v>205</v>
      </c>
      <c r="L39" s="35">
        <v>36.808500000000002</v>
      </c>
      <c r="M39" s="67" t="s">
        <v>2</v>
      </c>
      <c r="N39" s="67" t="s">
        <v>4</v>
      </c>
      <c r="O39" s="67" t="s">
        <v>4</v>
      </c>
      <c r="P39" s="77">
        <v>36.613</v>
      </c>
      <c r="Q39" s="77">
        <v>36.503999999999998</v>
      </c>
      <c r="R39" s="78">
        <v>45855</v>
      </c>
      <c r="S39" s="104">
        <f t="shared" si="1"/>
        <v>727</v>
      </c>
      <c r="T39" s="109">
        <f>L39-Q39</f>
        <v>0.30450000000000443</v>
      </c>
      <c r="U39" s="109">
        <f t="shared" si="2"/>
        <v>0.29450000000000442</v>
      </c>
      <c r="V39" s="9">
        <f t="shared" si="3"/>
        <v>0.22072179310831636</v>
      </c>
    </row>
    <row r="40" spans="1:22" ht="18.3" customHeight="1" thickBot="1" x14ac:dyDescent="0.3">
      <c r="A40" s="492"/>
      <c r="B40" s="99" t="s">
        <v>204</v>
      </c>
      <c r="C40" s="491"/>
      <c r="D40" s="746"/>
      <c r="E40" s="491"/>
      <c r="F40" s="60">
        <v>5.2</v>
      </c>
      <c r="G40" s="60">
        <v>7.86</v>
      </c>
      <c r="H40" s="491"/>
      <c r="I40" s="491"/>
      <c r="J40" s="39">
        <v>45128</v>
      </c>
      <c r="K40" s="11" t="s">
        <v>206</v>
      </c>
      <c r="L40" s="34">
        <v>36.734000000000002</v>
      </c>
      <c r="M40" s="42" t="s">
        <v>2</v>
      </c>
      <c r="N40" s="42" t="s">
        <v>4</v>
      </c>
      <c r="O40" s="42" t="s">
        <v>4</v>
      </c>
      <c r="P40" s="74">
        <v>36.622999999999998</v>
      </c>
      <c r="Q40" s="74">
        <v>36.527000000000001</v>
      </c>
      <c r="R40" s="75">
        <v>45855</v>
      </c>
      <c r="S40" s="105">
        <f t="shared" si="1"/>
        <v>727</v>
      </c>
      <c r="T40" s="109">
        <f>L40-Q40</f>
        <v>0.20700000000000074</v>
      </c>
      <c r="U40" s="108">
        <f t="shared" si="2"/>
        <v>0.19700000000000073</v>
      </c>
      <c r="V40" s="76">
        <f t="shared" si="3"/>
        <v>0.14764751525411826</v>
      </c>
    </row>
    <row r="41" spans="1:22" ht="13.95" customHeight="1" thickBot="1" x14ac:dyDescent="0.3">
      <c r="A41" s="664" t="s">
        <v>207</v>
      </c>
      <c r="B41" s="665"/>
      <c r="C41" s="665"/>
      <c r="D41" s="665"/>
      <c r="E41" s="665"/>
      <c r="F41" s="665"/>
      <c r="G41" s="665"/>
      <c r="H41" s="665"/>
      <c r="I41" s="665"/>
      <c r="J41" s="665"/>
      <c r="K41" s="665"/>
      <c r="L41" s="665"/>
      <c r="M41" s="665"/>
      <c r="N41" s="665"/>
      <c r="O41" s="665"/>
      <c r="P41" s="665"/>
      <c r="Q41" s="665"/>
      <c r="R41" s="665"/>
      <c r="S41" s="665"/>
      <c r="T41" s="665"/>
      <c r="U41" s="665"/>
      <c r="V41" s="666"/>
    </row>
    <row r="42" spans="1:22" ht="18" customHeight="1" x14ac:dyDescent="0.25">
      <c r="A42" s="492">
        <v>16</v>
      </c>
      <c r="B42" s="99" t="s">
        <v>208</v>
      </c>
      <c r="C42" s="732" t="s">
        <v>295</v>
      </c>
      <c r="D42" s="491" t="s">
        <v>89</v>
      </c>
      <c r="E42" s="491" t="s">
        <v>19</v>
      </c>
      <c r="F42" s="62">
        <v>5.2</v>
      </c>
      <c r="G42" s="62">
        <v>7.86</v>
      </c>
      <c r="H42" s="491" t="s">
        <v>209</v>
      </c>
      <c r="I42" s="491" t="s">
        <v>14</v>
      </c>
      <c r="J42" s="39">
        <v>45124</v>
      </c>
      <c r="K42" s="20" t="s">
        <v>210</v>
      </c>
      <c r="L42" s="35">
        <v>36.880499999999998</v>
      </c>
      <c r="M42" s="67" t="s">
        <v>2</v>
      </c>
      <c r="N42" s="67" t="s">
        <v>4</v>
      </c>
      <c r="O42" s="67" t="s">
        <v>4</v>
      </c>
      <c r="P42" s="77">
        <v>36.896999999999998</v>
      </c>
      <c r="Q42" s="77">
        <v>36.863</v>
      </c>
      <c r="R42" s="78">
        <v>45851</v>
      </c>
      <c r="S42" s="104">
        <f t="shared" si="1"/>
        <v>727</v>
      </c>
      <c r="T42" s="109">
        <f>L42-Q42</f>
        <v>1.7499999999998295E-2</v>
      </c>
      <c r="U42" s="109">
        <f t="shared" si="2"/>
        <v>7.4999999999982945E-3</v>
      </c>
      <c r="V42" s="9">
        <f t="shared" si="3"/>
        <v>5.6210982964752841E-3</v>
      </c>
    </row>
    <row r="43" spans="1:22" ht="18.3" customHeight="1" x14ac:dyDescent="0.25">
      <c r="A43" s="492"/>
      <c r="B43" s="99" t="s">
        <v>208</v>
      </c>
      <c r="C43" s="732"/>
      <c r="D43" s="491"/>
      <c r="E43" s="491"/>
      <c r="F43" s="60">
        <v>5.2</v>
      </c>
      <c r="G43" s="60">
        <v>7.86</v>
      </c>
      <c r="H43" s="491"/>
      <c r="I43" s="491"/>
      <c r="J43" s="39">
        <v>45124</v>
      </c>
      <c r="K43" s="11" t="s">
        <v>211</v>
      </c>
      <c r="L43" s="34">
        <v>36.779000000000003</v>
      </c>
      <c r="M43" s="17" t="s">
        <v>2</v>
      </c>
      <c r="N43" s="17" t="s">
        <v>4</v>
      </c>
      <c r="O43" s="17" t="s">
        <v>4</v>
      </c>
      <c r="P43" s="70">
        <v>36.798000000000002</v>
      </c>
      <c r="Q43" s="70">
        <v>36.767000000000003</v>
      </c>
      <c r="R43" s="71">
        <v>45851</v>
      </c>
      <c r="S43" s="72">
        <f t="shared" si="1"/>
        <v>727</v>
      </c>
      <c r="T43" s="109">
        <f>L43-Q43</f>
        <v>1.2000000000000455E-2</v>
      </c>
      <c r="U43" s="107">
        <f t="shared" si="2"/>
        <v>2.0000000000004545E-3</v>
      </c>
      <c r="V43" s="22">
        <f t="shared" si="3"/>
        <v>1.4989595457274242E-3</v>
      </c>
    </row>
    <row r="44" spans="1:22" ht="18" customHeight="1" x14ac:dyDescent="0.25">
      <c r="A44" s="492">
        <v>17</v>
      </c>
      <c r="B44" s="493" t="s">
        <v>212</v>
      </c>
      <c r="C44" s="491" t="s">
        <v>148</v>
      </c>
      <c r="D44" s="732"/>
      <c r="E44" s="732"/>
      <c r="F44" s="732"/>
      <c r="G44" s="732"/>
      <c r="H44" s="732"/>
      <c r="I44" s="732"/>
      <c r="J44" s="738"/>
      <c r="K44" s="30"/>
      <c r="L44" s="40"/>
      <c r="M44" s="27" t="s">
        <v>123</v>
      </c>
      <c r="N44" s="27" t="s">
        <v>124</v>
      </c>
      <c r="O44" s="73" t="s">
        <v>120</v>
      </c>
      <c r="P44" s="70"/>
      <c r="Q44" s="70"/>
      <c r="R44" s="71"/>
      <c r="S44" s="72"/>
      <c r="T44" s="107"/>
      <c r="U44" s="107"/>
      <c r="V44" s="22" t="s">
        <v>117</v>
      </c>
    </row>
    <row r="45" spans="1:22" ht="16.95" customHeight="1" x14ac:dyDescent="0.25">
      <c r="A45" s="479"/>
      <c r="B45" s="481"/>
      <c r="C45" s="494"/>
      <c r="D45" s="733"/>
      <c r="E45" s="733"/>
      <c r="F45" s="733"/>
      <c r="G45" s="733"/>
      <c r="H45" s="733"/>
      <c r="I45" s="733"/>
      <c r="J45" s="739"/>
      <c r="K45" s="25"/>
      <c r="L45" s="37"/>
      <c r="M45" s="27" t="s">
        <v>123</v>
      </c>
      <c r="N45" s="27" t="s">
        <v>124</v>
      </c>
      <c r="O45" s="73" t="s">
        <v>120</v>
      </c>
      <c r="P45" s="70"/>
      <c r="Q45" s="70"/>
      <c r="R45" s="71"/>
      <c r="S45" s="72"/>
      <c r="T45" s="107"/>
      <c r="U45" s="107"/>
      <c r="V45" s="22" t="s">
        <v>117</v>
      </c>
    </row>
    <row r="46" spans="1:22" ht="19.5" customHeight="1" x14ac:dyDescent="0.25">
      <c r="A46" s="478">
        <v>18</v>
      </c>
      <c r="B46" s="480" t="s">
        <v>213</v>
      </c>
      <c r="C46" s="489" t="s">
        <v>148</v>
      </c>
      <c r="D46" s="737"/>
      <c r="E46" s="737"/>
      <c r="F46" s="737"/>
      <c r="G46" s="737"/>
      <c r="H46" s="737"/>
      <c r="I46" s="737"/>
      <c r="J46" s="742"/>
      <c r="K46" s="25"/>
      <c r="L46" s="37"/>
      <c r="M46" s="27" t="s">
        <v>123</v>
      </c>
      <c r="N46" s="27" t="s">
        <v>124</v>
      </c>
      <c r="O46" s="73" t="s">
        <v>120</v>
      </c>
      <c r="P46" s="70"/>
      <c r="Q46" s="70"/>
      <c r="R46" s="71"/>
      <c r="S46" s="72"/>
      <c r="T46" s="107"/>
      <c r="U46" s="107"/>
      <c r="V46" s="22" t="s">
        <v>117</v>
      </c>
    </row>
    <row r="47" spans="1:22" ht="19.5" customHeight="1" x14ac:dyDescent="0.25">
      <c r="A47" s="479"/>
      <c r="B47" s="481"/>
      <c r="C47" s="494"/>
      <c r="D47" s="733"/>
      <c r="E47" s="733"/>
      <c r="F47" s="733"/>
      <c r="G47" s="733"/>
      <c r="H47" s="733"/>
      <c r="I47" s="733"/>
      <c r="J47" s="739"/>
      <c r="K47" s="25"/>
      <c r="L47" s="37"/>
      <c r="M47" s="27" t="s">
        <v>123</v>
      </c>
      <c r="N47" s="27" t="s">
        <v>124</v>
      </c>
      <c r="O47" s="73" t="s">
        <v>120</v>
      </c>
      <c r="P47" s="70"/>
      <c r="Q47" s="70"/>
      <c r="R47" s="71"/>
      <c r="S47" s="72"/>
      <c r="T47" s="107"/>
      <c r="U47" s="107"/>
      <c r="V47" s="22" t="s">
        <v>117</v>
      </c>
    </row>
    <row r="48" spans="1:22" ht="16.95" customHeight="1" x14ac:dyDescent="0.25">
      <c r="A48" s="478">
        <v>19</v>
      </c>
      <c r="B48" s="480" t="s">
        <v>214</v>
      </c>
      <c r="C48" s="737" t="s">
        <v>296</v>
      </c>
      <c r="D48" s="737"/>
      <c r="E48" s="737"/>
      <c r="F48" s="737"/>
      <c r="G48" s="737"/>
      <c r="H48" s="737"/>
      <c r="I48" s="737"/>
      <c r="J48" s="742"/>
      <c r="K48" s="25"/>
      <c r="L48" s="37"/>
      <c r="M48" s="27" t="s">
        <v>123</v>
      </c>
      <c r="N48" s="27" t="s">
        <v>124</v>
      </c>
      <c r="O48" s="73" t="s">
        <v>120</v>
      </c>
      <c r="P48" s="70"/>
      <c r="Q48" s="70"/>
      <c r="R48" s="71"/>
      <c r="S48" s="72"/>
      <c r="T48" s="107"/>
      <c r="U48" s="107"/>
      <c r="V48" s="22" t="s">
        <v>117</v>
      </c>
    </row>
    <row r="49" spans="1:22" ht="16.95" customHeight="1" x14ac:dyDescent="0.25">
      <c r="A49" s="479"/>
      <c r="B49" s="481"/>
      <c r="C49" s="733"/>
      <c r="D49" s="733"/>
      <c r="E49" s="733"/>
      <c r="F49" s="733"/>
      <c r="G49" s="733"/>
      <c r="H49" s="733"/>
      <c r="I49" s="733"/>
      <c r="J49" s="739"/>
      <c r="K49" s="25"/>
      <c r="L49" s="37"/>
      <c r="M49" s="27" t="s">
        <v>123</v>
      </c>
      <c r="N49" s="27" t="s">
        <v>124</v>
      </c>
      <c r="O49" s="73" t="s">
        <v>120</v>
      </c>
      <c r="P49" s="70"/>
      <c r="Q49" s="70"/>
      <c r="R49" s="71"/>
      <c r="S49" s="72"/>
      <c r="T49" s="107"/>
      <c r="U49" s="107"/>
      <c r="V49" s="22" t="s">
        <v>117</v>
      </c>
    </row>
    <row r="50" spans="1:22" ht="18.3" customHeight="1" x14ac:dyDescent="0.25">
      <c r="A50" s="478">
        <v>20</v>
      </c>
      <c r="B50" s="480" t="s">
        <v>215</v>
      </c>
      <c r="C50" s="737" t="s">
        <v>296</v>
      </c>
      <c r="D50" s="737"/>
      <c r="E50" s="737"/>
      <c r="F50" s="737"/>
      <c r="G50" s="737"/>
      <c r="H50" s="737"/>
      <c r="I50" s="737"/>
      <c r="J50" s="742"/>
      <c r="K50" s="25"/>
      <c r="L50" s="37"/>
      <c r="M50" s="27" t="s">
        <v>123</v>
      </c>
      <c r="N50" s="27" t="s">
        <v>124</v>
      </c>
      <c r="O50" s="73" t="s">
        <v>120</v>
      </c>
      <c r="P50" s="70"/>
      <c r="Q50" s="70"/>
      <c r="R50" s="71"/>
      <c r="S50" s="72"/>
      <c r="T50" s="107"/>
      <c r="U50" s="107"/>
      <c r="V50" s="22" t="s">
        <v>117</v>
      </c>
    </row>
    <row r="51" spans="1:22" ht="18.3" customHeight="1" x14ac:dyDescent="0.25">
      <c r="A51" s="479"/>
      <c r="B51" s="481"/>
      <c r="C51" s="733"/>
      <c r="D51" s="733"/>
      <c r="E51" s="733"/>
      <c r="F51" s="733"/>
      <c r="G51" s="733"/>
      <c r="H51" s="733"/>
      <c r="I51" s="733"/>
      <c r="J51" s="739"/>
      <c r="K51" s="25"/>
      <c r="L51" s="37"/>
      <c r="M51" s="27" t="s">
        <v>123</v>
      </c>
      <c r="N51" s="27" t="s">
        <v>124</v>
      </c>
      <c r="O51" s="73" t="s">
        <v>120</v>
      </c>
      <c r="P51" s="70"/>
      <c r="Q51" s="70"/>
      <c r="R51" s="71"/>
      <c r="S51" s="72"/>
      <c r="T51" s="107"/>
      <c r="U51" s="107"/>
      <c r="V51" s="22" t="s">
        <v>117</v>
      </c>
    </row>
    <row r="52" spans="1:22" ht="16.95" customHeight="1" x14ac:dyDescent="0.25">
      <c r="A52" s="478">
        <v>21</v>
      </c>
      <c r="B52" s="480" t="s">
        <v>216</v>
      </c>
      <c r="C52" s="489" t="s">
        <v>148</v>
      </c>
      <c r="D52" s="737"/>
      <c r="E52" s="737"/>
      <c r="F52" s="737"/>
      <c r="G52" s="737"/>
      <c r="H52" s="737"/>
      <c r="I52" s="737"/>
      <c r="J52" s="742"/>
      <c r="K52" s="25"/>
      <c r="L52" s="37"/>
      <c r="M52" s="27" t="s">
        <v>123</v>
      </c>
      <c r="N52" s="27" t="s">
        <v>124</v>
      </c>
      <c r="O52" s="73" t="s">
        <v>120</v>
      </c>
      <c r="P52" s="70"/>
      <c r="Q52" s="70"/>
      <c r="R52" s="71"/>
      <c r="S52" s="72"/>
      <c r="T52" s="107"/>
      <c r="U52" s="107"/>
      <c r="V52" s="22" t="s">
        <v>117</v>
      </c>
    </row>
    <row r="53" spans="1:22" ht="16.95" customHeight="1" x14ac:dyDescent="0.25">
      <c r="A53" s="479"/>
      <c r="B53" s="481"/>
      <c r="C53" s="494"/>
      <c r="D53" s="733"/>
      <c r="E53" s="733"/>
      <c r="F53" s="733"/>
      <c r="G53" s="733"/>
      <c r="H53" s="733"/>
      <c r="I53" s="733"/>
      <c r="J53" s="739"/>
      <c r="K53" s="25"/>
      <c r="L53" s="37"/>
      <c r="M53" s="27" t="s">
        <v>123</v>
      </c>
      <c r="N53" s="27" t="s">
        <v>124</v>
      </c>
      <c r="O53" s="73" t="s">
        <v>120</v>
      </c>
      <c r="P53" s="70"/>
      <c r="Q53" s="70"/>
      <c r="R53" s="71"/>
      <c r="S53" s="72"/>
      <c r="T53" s="107"/>
      <c r="U53" s="107"/>
      <c r="V53" s="22" t="s">
        <v>117</v>
      </c>
    </row>
    <row r="54" spans="1:22" ht="16.95" customHeight="1" x14ac:dyDescent="0.25">
      <c r="A54" s="478">
        <v>22</v>
      </c>
      <c r="B54" s="480" t="s">
        <v>217</v>
      </c>
      <c r="C54" s="489" t="s">
        <v>148</v>
      </c>
      <c r="D54" s="737"/>
      <c r="E54" s="737"/>
      <c r="F54" s="737"/>
      <c r="G54" s="737"/>
      <c r="H54" s="737"/>
      <c r="I54" s="737"/>
      <c r="J54" s="742"/>
      <c r="K54" s="25"/>
      <c r="L54" s="37"/>
      <c r="M54" s="27" t="s">
        <v>123</v>
      </c>
      <c r="N54" s="27" t="s">
        <v>124</v>
      </c>
      <c r="O54" s="73" t="s">
        <v>120</v>
      </c>
      <c r="P54" s="70"/>
      <c r="Q54" s="70"/>
      <c r="R54" s="71"/>
      <c r="S54" s="72"/>
      <c r="T54" s="107"/>
      <c r="U54" s="107"/>
      <c r="V54" s="22" t="s">
        <v>117</v>
      </c>
    </row>
    <row r="55" spans="1:22" ht="16.95" customHeight="1" x14ac:dyDescent="0.25">
      <c r="A55" s="479"/>
      <c r="B55" s="481"/>
      <c r="C55" s="494"/>
      <c r="D55" s="733"/>
      <c r="E55" s="733"/>
      <c r="F55" s="733"/>
      <c r="G55" s="733"/>
      <c r="H55" s="733"/>
      <c r="I55" s="733"/>
      <c r="J55" s="739"/>
      <c r="K55" s="25"/>
      <c r="L55" s="37"/>
      <c r="M55" s="27" t="s">
        <v>123</v>
      </c>
      <c r="N55" s="27" t="s">
        <v>124</v>
      </c>
      <c r="O55" s="73" t="s">
        <v>120</v>
      </c>
      <c r="P55" s="70"/>
      <c r="Q55" s="70"/>
      <c r="R55" s="71"/>
      <c r="S55" s="72"/>
      <c r="T55" s="107"/>
      <c r="U55" s="107"/>
      <c r="V55" s="22" t="s">
        <v>117</v>
      </c>
    </row>
    <row r="56" spans="1:22" ht="16.95" customHeight="1" x14ac:dyDescent="0.25">
      <c r="A56" s="478">
        <v>23</v>
      </c>
      <c r="B56" s="480" t="s">
        <v>212</v>
      </c>
      <c r="C56" s="489" t="s">
        <v>148</v>
      </c>
      <c r="D56" s="737"/>
      <c r="E56" s="737"/>
      <c r="F56" s="737"/>
      <c r="G56" s="737"/>
      <c r="H56" s="737"/>
      <c r="I56" s="737"/>
      <c r="J56" s="742"/>
      <c r="K56" s="25"/>
      <c r="L56" s="37"/>
      <c r="M56" s="27" t="s">
        <v>123</v>
      </c>
      <c r="N56" s="27" t="s">
        <v>124</v>
      </c>
      <c r="O56" s="73" t="s">
        <v>120</v>
      </c>
      <c r="P56" s="70"/>
      <c r="Q56" s="70"/>
      <c r="R56" s="71"/>
      <c r="S56" s="72"/>
      <c r="T56" s="107"/>
      <c r="U56" s="107"/>
      <c r="V56" s="22" t="s">
        <v>117</v>
      </c>
    </row>
    <row r="57" spans="1:22" ht="16.95" customHeight="1" x14ac:dyDescent="0.25">
      <c r="A57" s="479"/>
      <c r="B57" s="481"/>
      <c r="C57" s="494"/>
      <c r="D57" s="733"/>
      <c r="E57" s="733"/>
      <c r="F57" s="733"/>
      <c r="G57" s="733"/>
      <c r="H57" s="733"/>
      <c r="I57" s="733"/>
      <c r="J57" s="739"/>
      <c r="K57" s="25"/>
      <c r="L57" s="37"/>
      <c r="M57" s="27" t="s">
        <v>123</v>
      </c>
      <c r="N57" s="27" t="s">
        <v>124</v>
      </c>
      <c r="O57" s="73" t="s">
        <v>120</v>
      </c>
      <c r="P57" s="70"/>
      <c r="Q57" s="70"/>
      <c r="R57" s="71"/>
      <c r="S57" s="72"/>
      <c r="T57" s="107"/>
      <c r="U57" s="107"/>
      <c r="V57" s="22" t="s">
        <v>117</v>
      </c>
    </row>
    <row r="58" spans="1:22" ht="16.95" customHeight="1" x14ac:dyDescent="0.25">
      <c r="A58" s="478">
        <v>24</v>
      </c>
      <c r="B58" s="480" t="s">
        <v>218</v>
      </c>
      <c r="C58" s="489" t="s">
        <v>148</v>
      </c>
      <c r="D58" s="489" t="s">
        <v>89</v>
      </c>
      <c r="E58" s="489" t="s">
        <v>19</v>
      </c>
      <c r="F58" s="62">
        <v>5.2</v>
      </c>
      <c r="G58" s="62">
        <v>7.86</v>
      </c>
      <c r="H58" s="489" t="s">
        <v>219</v>
      </c>
      <c r="I58" s="489" t="s">
        <v>14</v>
      </c>
      <c r="J58" s="744">
        <v>45124</v>
      </c>
      <c r="K58" s="15" t="s">
        <v>220</v>
      </c>
      <c r="L58" s="16">
        <v>37.017200000000003</v>
      </c>
      <c r="M58" s="27" t="s">
        <v>123</v>
      </c>
      <c r="N58" s="27" t="s">
        <v>124</v>
      </c>
      <c r="O58" s="73" t="s">
        <v>120</v>
      </c>
      <c r="P58" s="70"/>
      <c r="Q58" s="70"/>
      <c r="R58" s="71"/>
      <c r="S58" s="72"/>
      <c r="T58" s="107"/>
      <c r="U58" s="107"/>
      <c r="V58" s="22" t="s">
        <v>117</v>
      </c>
    </row>
    <row r="59" spans="1:22" ht="16.95" customHeight="1" x14ac:dyDescent="0.25">
      <c r="A59" s="479"/>
      <c r="B59" s="481"/>
      <c r="C59" s="494"/>
      <c r="D59" s="494"/>
      <c r="E59" s="494"/>
      <c r="F59" s="60">
        <v>5.2</v>
      </c>
      <c r="G59" s="60">
        <v>7.86</v>
      </c>
      <c r="H59" s="494"/>
      <c r="I59" s="494"/>
      <c r="J59" s="745"/>
      <c r="K59" s="15" t="s">
        <v>221</v>
      </c>
      <c r="L59" s="16">
        <v>36.950800000000001</v>
      </c>
      <c r="M59" s="27" t="s">
        <v>123</v>
      </c>
      <c r="N59" s="27" t="s">
        <v>124</v>
      </c>
      <c r="O59" s="73" t="s">
        <v>120</v>
      </c>
      <c r="P59" s="70"/>
      <c r="Q59" s="70"/>
      <c r="R59" s="71"/>
      <c r="S59" s="72"/>
      <c r="T59" s="107"/>
      <c r="U59" s="107"/>
      <c r="V59" s="22" t="s">
        <v>117</v>
      </c>
    </row>
    <row r="60" spans="1:22" ht="16.95" customHeight="1" x14ac:dyDescent="0.25">
      <c r="A60" s="478">
        <v>25</v>
      </c>
      <c r="B60" s="98" t="s">
        <v>222</v>
      </c>
      <c r="C60" s="489" t="s">
        <v>148</v>
      </c>
      <c r="D60" s="489" t="s">
        <v>89</v>
      </c>
      <c r="E60" s="489" t="s">
        <v>19</v>
      </c>
      <c r="F60" s="62">
        <v>5.2</v>
      </c>
      <c r="G60" s="62">
        <v>7.86</v>
      </c>
      <c r="H60" s="489" t="s">
        <v>149</v>
      </c>
      <c r="I60" s="489" t="s">
        <v>14</v>
      </c>
      <c r="J60" s="14">
        <v>45125</v>
      </c>
      <c r="K60" s="15" t="s">
        <v>223</v>
      </c>
      <c r="L60" s="16">
        <v>37.0398</v>
      </c>
      <c r="M60" s="17" t="s">
        <v>2</v>
      </c>
      <c r="N60" s="17" t="s">
        <v>4</v>
      </c>
      <c r="O60" s="17" t="s">
        <v>4</v>
      </c>
      <c r="P60" s="70">
        <v>36.966000000000001</v>
      </c>
      <c r="Q60" s="70">
        <v>36.813000000000002</v>
      </c>
      <c r="R60" s="71">
        <v>45850</v>
      </c>
      <c r="S60" s="72">
        <f t="shared" si="1"/>
        <v>725</v>
      </c>
      <c r="T60" s="109">
        <f>L60-Q60</f>
        <v>0.22679999999999723</v>
      </c>
      <c r="U60" s="107">
        <f t="shared" si="2"/>
        <v>0.21679999999999722</v>
      </c>
      <c r="V60" s="22">
        <f t="shared" si="3"/>
        <v>0.16293545534924633</v>
      </c>
    </row>
    <row r="61" spans="1:22" ht="16.95" customHeight="1" x14ac:dyDescent="0.25">
      <c r="A61" s="479"/>
      <c r="B61" s="98" t="s">
        <v>222</v>
      </c>
      <c r="C61" s="494"/>
      <c r="D61" s="494"/>
      <c r="E61" s="494"/>
      <c r="F61" s="60">
        <v>5.2</v>
      </c>
      <c r="G61" s="60">
        <v>7.86</v>
      </c>
      <c r="H61" s="494"/>
      <c r="I61" s="494"/>
      <c r="J61" s="14">
        <v>45125</v>
      </c>
      <c r="K61" s="15" t="s">
        <v>224</v>
      </c>
      <c r="L61" s="16">
        <v>36.951999999999998</v>
      </c>
      <c r="M61" s="17" t="s">
        <v>2</v>
      </c>
      <c r="N61" s="17" t="s">
        <v>4</v>
      </c>
      <c r="O61" s="17" t="s">
        <v>4</v>
      </c>
      <c r="P61" s="70">
        <v>36.923999999999999</v>
      </c>
      <c r="Q61" s="70">
        <v>36.786000000000001</v>
      </c>
      <c r="R61" s="71">
        <v>45850</v>
      </c>
      <c r="S61" s="72">
        <f t="shared" si="1"/>
        <v>725</v>
      </c>
      <c r="T61" s="109">
        <f>L61-Q61</f>
        <v>0.16599999999999682</v>
      </c>
      <c r="U61" s="107">
        <f t="shared" si="2"/>
        <v>0.15599999999999681</v>
      </c>
      <c r="V61" s="22">
        <f t="shared" si="3"/>
        <v>0.11724137931034243</v>
      </c>
    </row>
    <row r="62" spans="1:22" ht="16.95" customHeight="1" x14ac:dyDescent="0.25">
      <c r="A62" s="478">
        <v>26</v>
      </c>
      <c r="B62" s="480" t="s">
        <v>225</v>
      </c>
      <c r="C62" s="489" t="s">
        <v>148</v>
      </c>
      <c r="D62" s="489" t="s">
        <v>89</v>
      </c>
      <c r="E62" s="489" t="s">
        <v>19</v>
      </c>
      <c r="F62" s="62">
        <v>5.2</v>
      </c>
      <c r="G62" s="62">
        <v>7.86</v>
      </c>
      <c r="H62" s="489" t="s">
        <v>149</v>
      </c>
      <c r="I62" s="489" t="s">
        <v>14</v>
      </c>
      <c r="J62" s="14">
        <v>45125</v>
      </c>
      <c r="K62" s="15" t="s">
        <v>226</v>
      </c>
      <c r="L62" s="16">
        <v>36.6753</v>
      </c>
      <c r="M62" s="27" t="s">
        <v>123</v>
      </c>
      <c r="N62" s="27" t="s">
        <v>124</v>
      </c>
      <c r="O62" s="73" t="s">
        <v>120</v>
      </c>
      <c r="P62" s="70"/>
      <c r="Q62" s="70"/>
      <c r="R62" s="71"/>
      <c r="S62" s="72"/>
      <c r="T62" s="107"/>
      <c r="U62" s="107"/>
      <c r="V62" s="22" t="s">
        <v>117</v>
      </c>
    </row>
    <row r="63" spans="1:22" ht="16.95" customHeight="1" x14ac:dyDescent="0.25">
      <c r="A63" s="492"/>
      <c r="B63" s="493"/>
      <c r="C63" s="491"/>
      <c r="D63" s="491"/>
      <c r="E63" s="491"/>
      <c r="F63" s="60">
        <v>5.2</v>
      </c>
      <c r="G63" s="60">
        <v>7.86</v>
      </c>
      <c r="H63" s="491"/>
      <c r="I63" s="491"/>
      <c r="J63" s="14">
        <v>45125</v>
      </c>
      <c r="K63" s="11" t="s">
        <v>227</v>
      </c>
      <c r="L63" s="34">
        <v>36.732199999999999</v>
      </c>
      <c r="M63" s="27" t="s">
        <v>123</v>
      </c>
      <c r="N63" s="27" t="s">
        <v>124</v>
      </c>
      <c r="O63" s="73" t="s">
        <v>120</v>
      </c>
      <c r="P63" s="70"/>
      <c r="Q63" s="70"/>
      <c r="R63" s="71"/>
      <c r="S63" s="72"/>
      <c r="T63" s="107"/>
      <c r="U63" s="107"/>
      <c r="V63" s="22" t="s">
        <v>117</v>
      </c>
    </row>
    <row r="64" spans="1:22" ht="17.7" customHeight="1" x14ac:dyDescent="0.25">
      <c r="A64" s="492">
        <v>27</v>
      </c>
      <c r="B64" s="99" t="s">
        <v>228</v>
      </c>
      <c r="C64" s="491" t="s">
        <v>187</v>
      </c>
      <c r="D64" s="491" t="s">
        <v>89</v>
      </c>
      <c r="E64" s="491" t="s">
        <v>19</v>
      </c>
      <c r="F64" s="62">
        <v>5.2</v>
      </c>
      <c r="G64" s="62">
        <v>7.86</v>
      </c>
      <c r="H64" s="491" t="s">
        <v>229</v>
      </c>
      <c r="I64" s="491" t="s">
        <v>14</v>
      </c>
      <c r="J64" s="39">
        <v>45125</v>
      </c>
      <c r="K64" s="20" t="s">
        <v>230</v>
      </c>
      <c r="L64" s="35">
        <v>36.634700000000002</v>
      </c>
      <c r="M64" s="17" t="s">
        <v>2</v>
      </c>
      <c r="N64" s="17" t="s">
        <v>4</v>
      </c>
      <c r="O64" s="17" t="s">
        <v>4</v>
      </c>
      <c r="P64" s="70">
        <v>36.686</v>
      </c>
      <c r="Q64" s="70">
        <v>36.628999999999998</v>
      </c>
      <c r="R64" s="71">
        <v>45850</v>
      </c>
      <c r="S64" s="72">
        <f t="shared" si="1"/>
        <v>725</v>
      </c>
      <c r="T64" s="109">
        <f t="shared" ref="T64:T67" si="6">L64-Q64</f>
        <v>5.7000000000044793E-3</v>
      </c>
      <c r="U64" s="107">
        <f t="shared" si="2"/>
        <v>-4.2999999999955209E-3</v>
      </c>
      <c r="V64" s="22">
        <f t="shared" si="3"/>
        <v>-3.2316534040638307E-3</v>
      </c>
    </row>
    <row r="65" spans="1:22" ht="16.95" customHeight="1" x14ac:dyDescent="0.25">
      <c r="A65" s="479"/>
      <c r="B65" s="99" t="s">
        <v>228</v>
      </c>
      <c r="C65" s="494"/>
      <c r="D65" s="494"/>
      <c r="E65" s="494"/>
      <c r="F65" s="60">
        <v>5.2</v>
      </c>
      <c r="G65" s="60">
        <v>7.86</v>
      </c>
      <c r="H65" s="494"/>
      <c r="I65" s="494"/>
      <c r="J65" s="39">
        <v>45125</v>
      </c>
      <c r="K65" s="15" t="s">
        <v>231</v>
      </c>
      <c r="L65" s="16">
        <v>37.016399999999997</v>
      </c>
      <c r="M65" s="17" t="s">
        <v>2</v>
      </c>
      <c r="N65" s="17" t="s">
        <v>4</v>
      </c>
      <c r="O65" s="17" t="s">
        <v>4</v>
      </c>
      <c r="P65" s="70">
        <v>37.063000000000002</v>
      </c>
      <c r="Q65" s="70">
        <v>37.005000000000003</v>
      </c>
      <c r="R65" s="71">
        <v>45850</v>
      </c>
      <c r="S65" s="72">
        <f t="shared" si="1"/>
        <v>725</v>
      </c>
      <c r="T65" s="109">
        <f t="shared" si="6"/>
        <v>1.1399999999994748E-2</v>
      </c>
      <c r="U65" s="107">
        <f t="shared" si="2"/>
        <v>1.3999999999947475E-3</v>
      </c>
      <c r="V65" s="22">
        <f t="shared" si="3"/>
        <v>1.05216622457607E-3</v>
      </c>
    </row>
    <row r="66" spans="1:22" ht="16.95" customHeight="1" x14ac:dyDescent="0.25">
      <c r="A66" s="478">
        <v>28</v>
      </c>
      <c r="B66" s="98" t="s">
        <v>232</v>
      </c>
      <c r="C66" s="489" t="s">
        <v>187</v>
      </c>
      <c r="D66" s="489" t="s">
        <v>89</v>
      </c>
      <c r="E66" s="489" t="s">
        <v>19</v>
      </c>
      <c r="F66" s="62">
        <v>5.2</v>
      </c>
      <c r="G66" s="62">
        <v>7.86</v>
      </c>
      <c r="H66" s="489" t="s">
        <v>233</v>
      </c>
      <c r="I66" s="489" t="s">
        <v>14</v>
      </c>
      <c r="J66" s="14">
        <v>45125</v>
      </c>
      <c r="K66" s="15" t="s">
        <v>234</v>
      </c>
      <c r="L66" s="16">
        <v>36.689</v>
      </c>
      <c r="M66" s="17" t="s">
        <v>2</v>
      </c>
      <c r="N66" s="17" t="s">
        <v>4</v>
      </c>
      <c r="O66" s="17" t="s">
        <v>4</v>
      </c>
      <c r="P66" s="70">
        <v>36.712000000000003</v>
      </c>
      <c r="Q66" s="70">
        <v>36.673999999999999</v>
      </c>
      <c r="R66" s="71">
        <v>45850</v>
      </c>
      <c r="S66" s="72">
        <f t="shared" si="1"/>
        <v>725</v>
      </c>
      <c r="T66" s="109">
        <f t="shared" si="6"/>
        <v>1.5000000000000568E-2</v>
      </c>
      <c r="U66" s="107">
        <f t="shared" si="2"/>
        <v>5.0000000000005682E-3</v>
      </c>
      <c r="V66" s="22">
        <f t="shared" si="3"/>
        <v>3.7577365163576331E-3</v>
      </c>
    </row>
    <row r="67" spans="1:22" ht="16.95" customHeight="1" x14ac:dyDescent="0.25">
      <c r="A67" s="479"/>
      <c r="B67" s="98" t="s">
        <v>232</v>
      </c>
      <c r="C67" s="494"/>
      <c r="D67" s="494"/>
      <c r="E67" s="494"/>
      <c r="F67" s="60">
        <v>5.2</v>
      </c>
      <c r="G67" s="60">
        <v>7.86</v>
      </c>
      <c r="H67" s="494"/>
      <c r="I67" s="494"/>
      <c r="J67" s="14">
        <v>45125</v>
      </c>
      <c r="K67" s="15" t="s">
        <v>235</v>
      </c>
      <c r="L67" s="16">
        <v>37.073399999999999</v>
      </c>
      <c r="M67" s="17" t="s">
        <v>2</v>
      </c>
      <c r="N67" s="17" t="s">
        <v>4</v>
      </c>
      <c r="O67" s="17" t="s">
        <v>4</v>
      </c>
      <c r="P67" s="70">
        <v>37.085000000000001</v>
      </c>
      <c r="Q67" s="70">
        <v>37.052</v>
      </c>
      <c r="R67" s="71">
        <v>45850</v>
      </c>
      <c r="S67" s="72">
        <f t="shared" si="1"/>
        <v>725</v>
      </c>
      <c r="T67" s="109">
        <f t="shared" si="6"/>
        <v>2.1399999999999864E-2</v>
      </c>
      <c r="U67" s="107">
        <f t="shared" si="2"/>
        <v>1.1399999999999863E-2</v>
      </c>
      <c r="V67" s="22">
        <f t="shared" si="3"/>
        <v>8.5676392572943266E-3</v>
      </c>
    </row>
    <row r="68" spans="1:22" ht="16.95" customHeight="1" x14ac:dyDescent="0.25">
      <c r="A68" s="478">
        <v>29</v>
      </c>
      <c r="B68" s="480" t="s">
        <v>236</v>
      </c>
      <c r="C68" s="489" t="s">
        <v>148</v>
      </c>
      <c r="D68" s="737"/>
      <c r="E68" s="743"/>
      <c r="F68" s="59"/>
      <c r="G68" s="59"/>
      <c r="H68" s="740"/>
      <c r="I68" s="737"/>
      <c r="J68" s="742"/>
      <c r="K68" s="25"/>
      <c r="L68" s="37"/>
      <c r="M68" s="27" t="s">
        <v>123</v>
      </c>
      <c r="N68" s="27" t="s">
        <v>124</v>
      </c>
      <c r="O68" s="73" t="s">
        <v>120</v>
      </c>
      <c r="P68" s="70"/>
      <c r="Q68" s="70"/>
      <c r="R68" s="71"/>
      <c r="S68" s="72"/>
      <c r="T68" s="107"/>
      <c r="U68" s="107"/>
      <c r="V68" s="22" t="s">
        <v>117</v>
      </c>
    </row>
    <row r="69" spans="1:22" ht="16.95" customHeight="1" x14ac:dyDescent="0.25">
      <c r="A69" s="479"/>
      <c r="B69" s="481"/>
      <c r="C69" s="494"/>
      <c r="D69" s="733"/>
      <c r="E69" s="729"/>
      <c r="F69" s="59"/>
      <c r="G69" s="59"/>
      <c r="H69" s="741"/>
      <c r="I69" s="733"/>
      <c r="J69" s="739"/>
      <c r="K69" s="25"/>
      <c r="L69" s="37"/>
      <c r="M69" s="27" t="s">
        <v>123</v>
      </c>
      <c r="N69" s="27" t="s">
        <v>124</v>
      </c>
      <c r="O69" s="73" t="s">
        <v>120</v>
      </c>
      <c r="P69" s="70"/>
      <c r="Q69" s="70"/>
      <c r="R69" s="71"/>
      <c r="S69" s="72"/>
      <c r="T69" s="107"/>
      <c r="U69" s="107"/>
      <c r="V69" s="22" t="s">
        <v>117</v>
      </c>
    </row>
    <row r="70" spans="1:22" ht="16.95" customHeight="1" x14ac:dyDescent="0.25">
      <c r="A70" s="478">
        <v>30</v>
      </c>
      <c r="B70" s="98" t="s">
        <v>237</v>
      </c>
      <c r="C70" s="489" t="s">
        <v>187</v>
      </c>
      <c r="D70" s="489" t="s">
        <v>89</v>
      </c>
      <c r="E70" s="489" t="s">
        <v>19</v>
      </c>
      <c r="F70" s="62">
        <v>5.2</v>
      </c>
      <c r="G70" s="62">
        <v>7.86</v>
      </c>
      <c r="H70" s="489" t="s">
        <v>238</v>
      </c>
      <c r="I70" s="489" t="s">
        <v>14</v>
      </c>
      <c r="J70" s="14">
        <v>45126</v>
      </c>
      <c r="K70" s="15" t="s">
        <v>239</v>
      </c>
      <c r="L70" s="16">
        <v>36.916400000000003</v>
      </c>
      <c r="M70" s="17" t="s">
        <v>2</v>
      </c>
      <c r="N70" s="17" t="s">
        <v>4</v>
      </c>
      <c r="O70" s="17" t="s">
        <v>4</v>
      </c>
      <c r="P70" s="70">
        <v>36.89</v>
      </c>
      <c r="Q70" s="70">
        <v>36.764000000000003</v>
      </c>
      <c r="R70" s="71">
        <v>45850</v>
      </c>
      <c r="S70" s="72">
        <f t="shared" si="1"/>
        <v>724</v>
      </c>
      <c r="T70" s="109">
        <f t="shared" ref="T70:T77" si="7">L70-Q70</f>
        <v>0.15240000000000009</v>
      </c>
      <c r="U70" s="107">
        <f t="shared" si="2"/>
        <v>0.14240000000000008</v>
      </c>
      <c r="V70" s="22">
        <f t="shared" si="3"/>
        <v>0.10716815412948015</v>
      </c>
    </row>
    <row r="71" spans="1:22" ht="16.95" customHeight="1" x14ac:dyDescent="0.25">
      <c r="A71" s="479"/>
      <c r="B71" s="98" t="s">
        <v>237</v>
      </c>
      <c r="C71" s="494"/>
      <c r="D71" s="494"/>
      <c r="E71" s="494"/>
      <c r="F71" s="60">
        <v>5.2</v>
      </c>
      <c r="G71" s="60">
        <v>7.86</v>
      </c>
      <c r="H71" s="494"/>
      <c r="I71" s="494"/>
      <c r="J71" s="14">
        <v>45126</v>
      </c>
      <c r="K71" s="15" t="s">
        <v>240</v>
      </c>
      <c r="L71" s="16">
        <v>36.785299999999999</v>
      </c>
      <c r="M71" s="17" t="s">
        <v>2</v>
      </c>
      <c r="N71" s="17" t="s">
        <v>4</v>
      </c>
      <c r="O71" s="17" t="s">
        <v>4</v>
      </c>
      <c r="P71" s="70">
        <v>36.758000000000003</v>
      </c>
      <c r="Q71" s="70">
        <v>36.619</v>
      </c>
      <c r="R71" s="71">
        <v>45850</v>
      </c>
      <c r="S71" s="72">
        <f t="shared" si="1"/>
        <v>724</v>
      </c>
      <c r="T71" s="109">
        <f t="shared" si="7"/>
        <v>0.16629999999999967</v>
      </c>
      <c r="U71" s="107">
        <f t="shared" si="2"/>
        <v>0.15629999999999966</v>
      </c>
      <c r="V71" s="22">
        <f t="shared" si="3"/>
        <v>0.11762909052273668</v>
      </c>
    </row>
    <row r="72" spans="1:22" ht="16.95" customHeight="1" x14ac:dyDescent="0.25">
      <c r="A72" s="478">
        <v>31</v>
      </c>
      <c r="B72" s="98" t="s">
        <v>241</v>
      </c>
      <c r="C72" s="489" t="s">
        <v>148</v>
      </c>
      <c r="D72" s="489" t="s">
        <v>89</v>
      </c>
      <c r="E72" s="489" t="s">
        <v>19</v>
      </c>
      <c r="F72" s="62">
        <v>5.2</v>
      </c>
      <c r="G72" s="62">
        <v>7.86</v>
      </c>
      <c r="H72" s="489" t="s">
        <v>149</v>
      </c>
      <c r="I72" s="489" t="s">
        <v>14</v>
      </c>
      <c r="J72" s="14">
        <v>45126</v>
      </c>
      <c r="K72" s="15" t="s">
        <v>242</v>
      </c>
      <c r="L72" s="16">
        <v>36.9</v>
      </c>
      <c r="M72" s="17" t="s">
        <v>2</v>
      </c>
      <c r="N72" s="17" t="s">
        <v>4</v>
      </c>
      <c r="O72" s="17" t="s">
        <v>4</v>
      </c>
      <c r="P72" s="70">
        <v>36.917999999999999</v>
      </c>
      <c r="Q72" s="70">
        <v>36.884999999999998</v>
      </c>
      <c r="R72" s="71">
        <v>45849</v>
      </c>
      <c r="S72" s="72">
        <f t="shared" si="1"/>
        <v>723</v>
      </c>
      <c r="T72" s="109">
        <f t="shared" si="7"/>
        <v>1.5000000000000568E-2</v>
      </c>
      <c r="U72" s="107">
        <f t="shared" si="2"/>
        <v>5.0000000000005682E-3</v>
      </c>
      <c r="V72" s="22">
        <f t="shared" si="3"/>
        <v>3.768131361492785E-3</v>
      </c>
    </row>
    <row r="73" spans="1:22" ht="16.95" customHeight="1" x14ac:dyDescent="0.25">
      <c r="A73" s="479"/>
      <c r="B73" s="98" t="s">
        <v>241</v>
      </c>
      <c r="C73" s="494"/>
      <c r="D73" s="494"/>
      <c r="E73" s="494"/>
      <c r="F73" s="60">
        <v>5.2</v>
      </c>
      <c r="G73" s="60">
        <v>7.86</v>
      </c>
      <c r="H73" s="494"/>
      <c r="I73" s="494"/>
      <c r="J73" s="14">
        <v>45126</v>
      </c>
      <c r="K73" s="15" t="s">
        <v>243</v>
      </c>
      <c r="L73" s="16">
        <v>36.731299999999997</v>
      </c>
      <c r="M73" s="17" t="s">
        <v>2</v>
      </c>
      <c r="N73" s="17" t="s">
        <v>4</v>
      </c>
      <c r="O73" s="17" t="s">
        <v>4</v>
      </c>
      <c r="P73" s="70">
        <v>36.741999999999997</v>
      </c>
      <c r="Q73" s="70">
        <v>36.713999999999999</v>
      </c>
      <c r="R73" s="71">
        <v>45849</v>
      </c>
      <c r="S73" s="72">
        <f t="shared" si="1"/>
        <v>723</v>
      </c>
      <c r="T73" s="109">
        <f t="shared" si="7"/>
        <v>1.7299999999998761E-2</v>
      </c>
      <c r="U73" s="107">
        <f t="shared" si="2"/>
        <v>7.2999999999987606E-3</v>
      </c>
      <c r="V73" s="22">
        <f t="shared" si="3"/>
        <v>5.5014717877779071E-3</v>
      </c>
    </row>
    <row r="74" spans="1:22" ht="18.3" customHeight="1" x14ac:dyDescent="0.25">
      <c r="A74" s="478">
        <v>32</v>
      </c>
      <c r="B74" s="98" t="s">
        <v>244</v>
      </c>
      <c r="C74" s="489" t="s">
        <v>187</v>
      </c>
      <c r="D74" s="489" t="s">
        <v>89</v>
      </c>
      <c r="E74" s="489" t="s">
        <v>19</v>
      </c>
      <c r="F74" s="62">
        <v>5.2</v>
      </c>
      <c r="G74" s="62">
        <v>7.86</v>
      </c>
      <c r="H74" s="489" t="s">
        <v>245</v>
      </c>
      <c r="I74" s="489" t="s">
        <v>14</v>
      </c>
      <c r="J74" s="14">
        <v>45126</v>
      </c>
      <c r="K74" s="15" t="s">
        <v>246</v>
      </c>
      <c r="L74" s="16">
        <v>36.935200000000002</v>
      </c>
      <c r="M74" s="17" t="s">
        <v>2</v>
      </c>
      <c r="N74" s="17" t="s">
        <v>4</v>
      </c>
      <c r="O74" s="17" t="s">
        <v>4</v>
      </c>
      <c r="P74" s="70">
        <v>36.945999999999998</v>
      </c>
      <c r="Q74" s="70">
        <v>36.912999999999997</v>
      </c>
      <c r="R74" s="71">
        <v>45849</v>
      </c>
      <c r="S74" s="72">
        <f t="shared" ref="S74:S136" si="8">R74-J74</f>
        <v>723</v>
      </c>
      <c r="T74" s="109">
        <f t="shared" si="7"/>
        <v>2.2200000000005105E-2</v>
      </c>
      <c r="U74" s="107">
        <f t="shared" ref="U74:U137" si="9">T74-0.01</f>
        <v>1.2200000000005104E-2</v>
      </c>
      <c r="V74" s="22">
        <f t="shared" ref="V74:V137" si="10">(U74*22270)/(S74*G74*F74)</f>
        <v>9.1942405220451964E-3</v>
      </c>
    </row>
    <row r="75" spans="1:22" ht="18.3" customHeight="1" x14ac:dyDescent="0.25">
      <c r="A75" s="479"/>
      <c r="B75" s="98" t="s">
        <v>244</v>
      </c>
      <c r="C75" s="494"/>
      <c r="D75" s="494"/>
      <c r="E75" s="494"/>
      <c r="F75" s="60">
        <v>5.2</v>
      </c>
      <c r="G75" s="60">
        <v>7.86</v>
      </c>
      <c r="H75" s="494"/>
      <c r="I75" s="494"/>
      <c r="J75" s="14">
        <v>45126</v>
      </c>
      <c r="K75" s="15" t="s">
        <v>247</v>
      </c>
      <c r="L75" s="16">
        <v>36.747199999999999</v>
      </c>
      <c r="M75" s="17" t="s">
        <v>2</v>
      </c>
      <c r="N75" s="17" t="s">
        <v>4</v>
      </c>
      <c r="O75" s="17" t="s">
        <v>4</v>
      </c>
      <c r="P75" s="70">
        <v>36.758000000000003</v>
      </c>
      <c r="Q75" s="70">
        <v>36.744999999999997</v>
      </c>
      <c r="R75" s="71">
        <v>45849</v>
      </c>
      <c r="S75" s="72">
        <f t="shared" si="8"/>
        <v>723</v>
      </c>
      <c r="T75" s="109">
        <f t="shared" si="7"/>
        <v>2.2000000000019782E-3</v>
      </c>
      <c r="U75" s="107">
        <f t="shared" si="9"/>
        <v>-7.7999999999980221E-3</v>
      </c>
      <c r="V75" s="22">
        <f t="shared" si="10"/>
        <v>-5.8782849239265864E-3</v>
      </c>
    </row>
    <row r="76" spans="1:22" ht="18.3" customHeight="1" x14ac:dyDescent="0.25">
      <c r="A76" s="478">
        <v>33</v>
      </c>
      <c r="B76" s="98" t="s">
        <v>248</v>
      </c>
      <c r="C76" s="489" t="s">
        <v>187</v>
      </c>
      <c r="D76" s="489" t="s">
        <v>89</v>
      </c>
      <c r="E76" s="489" t="s">
        <v>19</v>
      </c>
      <c r="F76" s="62">
        <v>5.2</v>
      </c>
      <c r="G76" s="62">
        <v>7.86</v>
      </c>
      <c r="H76" s="489" t="s">
        <v>188</v>
      </c>
      <c r="I76" s="489" t="s">
        <v>14</v>
      </c>
      <c r="J76" s="14">
        <v>45126</v>
      </c>
      <c r="K76" s="15" t="s">
        <v>249</v>
      </c>
      <c r="L76" s="16">
        <v>36.826700000000002</v>
      </c>
      <c r="M76" s="17" t="s">
        <v>2</v>
      </c>
      <c r="N76" s="17" t="s">
        <v>4</v>
      </c>
      <c r="O76" s="17" t="s">
        <v>4</v>
      </c>
      <c r="P76" s="70">
        <v>36.076999999999998</v>
      </c>
      <c r="Q76" s="70">
        <v>35.453000000000003</v>
      </c>
      <c r="R76" s="71">
        <v>45863</v>
      </c>
      <c r="S76" s="72">
        <f t="shared" si="8"/>
        <v>737</v>
      </c>
      <c r="T76" s="109">
        <f t="shared" si="7"/>
        <v>1.3736999999999995</v>
      </c>
      <c r="U76" s="107">
        <f t="shared" si="9"/>
        <v>1.3636999999999995</v>
      </c>
      <c r="V76" s="22">
        <f t="shared" si="10"/>
        <v>1.0081976481230206</v>
      </c>
    </row>
    <row r="77" spans="1:22" ht="18.3" customHeight="1" thickBot="1" x14ac:dyDescent="0.3">
      <c r="A77" s="492"/>
      <c r="B77" s="98" t="s">
        <v>248</v>
      </c>
      <c r="C77" s="491"/>
      <c r="D77" s="491"/>
      <c r="E77" s="491"/>
      <c r="F77" s="60">
        <v>5.2</v>
      </c>
      <c r="G77" s="60">
        <v>7.86</v>
      </c>
      <c r="H77" s="491"/>
      <c r="I77" s="491"/>
      <c r="J77" s="14">
        <v>45126</v>
      </c>
      <c r="K77" s="11" t="s">
        <v>250</v>
      </c>
      <c r="L77" s="34">
        <v>36.815899999999999</v>
      </c>
      <c r="M77" s="42" t="s">
        <v>2</v>
      </c>
      <c r="N77" s="42" t="s">
        <v>4</v>
      </c>
      <c r="O77" s="42" t="s">
        <v>4</v>
      </c>
      <c r="P77" s="74">
        <v>36.057000000000002</v>
      </c>
      <c r="Q77" s="74">
        <v>35.415999999999997</v>
      </c>
      <c r="R77" s="75">
        <v>45863</v>
      </c>
      <c r="S77" s="105">
        <f t="shared" si="8"/>
        <v>737</v>
      </c>
      <c r="T77" s="109">
        <f t="shared" si="7"/>
        <v>1.3999000000000024</v>
      </c>
      <c r="U77" s="108">
        <f t="shared" si="9"/>
        <v>1.3899000000000024</v>
      </c>
      <c r="V77" s="76">
        <f t="shared" si="10"/>
        <v>1.0275675816720609</v>
      </c>
    </row>
    <row r="78" spans="1:22" ht="16.95" customHeight="1" thickBot="1" x14ac:dyDescent="0.3">
      <c r="A78" s="664" t="s">
        <v>251</v>
      </c>
      <c r="B78" s="665"/>
      <c r="C78" s="665"/>
      <c r="D78" s="665"/>
      <c r="E78" s="665"/>
      <c r="F78" s="665"/>
      <c r="G78" s="665"/>
      <c r="H78" s="665"/>
      <c r="I78" s="665"/>
      <c r="J78" s="665"/>
      <c r="K78" s="665"/>
      <c r="L78" s="665"/>
      <c r="M78" s="665"/>
      <c r="N78" s="665"/>
      <c r="O78" s="665"/>
      <c r="P78" s="665"/>
      <c r="Q78" s="665"/>
      <c r="R78" s="665"/>
      <c r="S78" s="665"/>
      <c r="T78" s="665"/>
      <c r="U78" s="665"/>
      <c r="V78" s="666"/>
    </row>
    <row r="79" spans="1:22" ht="16.95" customHeight="1" x14ac:dyDescent="0.25">
      <c r="A79" s="492">
        <v>34</v>
      </c>
      <c r="B79" s="493" t="s">
        <v>252</v>
      </c>
      <c r="C79" s="732" t="s">
        <v>297</v>
      </c>
      <c r="D79" s="732"/>
      <c r="E79" s="732"/>
      <c r="F79" s="732"/>
      <c r="G79" s="732"/>
      <c r="H79" s="732"/>
      <c r="I79" s="732"/>
      <c r="J79" s="738"/>
      <c r="K79" s="30"/>
      <c r="L79" s="40"/>
      <c r="M79" s="66" t="s">
        <v>123</v>
      </c>
      <c r="N79" s="66" t="s">
        <v>124</v>
      </c>
      <c r="O79" s="82" t="s">
        <v>120</v>
      </c>
      <c r="P79" s="77"/>
      <c r="Q79" s="77"/>
      <c r="R79" s="78"/>
      <c r="S79" s="104"/>
      <c r="T79" s="109"/>
      <c r="U79" s="109"/>
      <c r="V79" s="22" t="s">
        <v>117</v>
      </c>
    </row>
    <row r="80" spans="1:22" ht="16.95" customHeight="1" x14ac:dyDescent="0.25">
      <c r="A80" s="479"/>
      <c r="B80" s="481"/>
      <c r="C80" s="733"/>
      <c r="D80" s="733"/>
      <c r="E80" s="733"/>
      <c r="F80" s="733"/>
      <c r="G80" s="733"/>
      <c r="H80" s="733"/>
      <c r="I80" s="733"/>
      <c r="J80" s="739"/>
      <c r="K80" s="25"/>
      <c r="L80" s="37"/>
      <c r="M80" s="27" t="s">
        <v>123</v>
      </c>
      <c r="N80" s="27" t="s">
        <v>124</v>
      </c>
      <c r="O80" s="73" t="s">
        <v>120</v>
      </c>
      <c r="P80" s="70"/>
      <c r="Q80" s="70"/>
      <c r="R80" s="71"/>
      <c r="S80" s="72"/>
      <c r="T80" s="107"/>
      <c r="U80" s="107"/>
      <c r="V80" s="22" t="s">
        <v>117</v>
      </c>
    </row>
    <row r="81" spans="1:22" ht="16.95" customHeight="1" x14ac:dyDescent="0.25">
      <c r="A81" s="478">
        <v>35</v>
      </c>
      <c r="B81" s="98" t="s">
        <v>253</v>
      </c>
      <c r="C81" s="489" t="s">
        <v>254</v>
      </c>
      <c r="D81" s="489" t="s">
        <v>89</v>
      </c>
      <c r="E81" s="489" t="s">
        <v>19</v>
      </c>
      <c r="F81" s="62">
        <v>5.2</v>
      </c>
      <c r="G81" s="62">
        <v>7.86</v>
      </c>
      <c r="H81" s="489" t="s">
        <v>255</v>
      </c>
      <c r="I81" s="489" t="s">
        <v>14</v>
      </c>
      <c r="J81" s="14">
        <v>45128</v>
      </c>
      <c r="K81" s="15" t="s">
        <v>256</v>
      </c>
      <c r="L81" s="16">
        <v>37.034100000000002</v>
      </c>
      <c r="M81" s="17" t="s">
        <v>2</v>
      </c>
      <c r="N81" s="17" t="s">
        <v>4</v>
      </c>
      <c r="O81" s="17" t="s">
        <v>4</v>
      </c>
      <c r="P81" s="70">
        <v>37.200000000000003</v>
      </c>
      <c r="Q81" s="70">
        <v>36.759</v>
      </c>
      <c r="R81" s="71">
        <v>45853</v>
      </c>
      <c r="S81" s="72">
        <f t="shared" si="8"/>
        <v>725</v>
      </c>
      <c r="T81" s="109">
        <f t="shared" ref="T81:T82" si="11">L81-Q81</f>
        <v>0.2751000000000019</v>
      </c>
      <c r="U81" s="107">
        <f t="shared" si="9"/>
        <v>0.26510000000000189</v>
      </c>
      <c r="V81" s="22">
        <f t="shared" si="10"/>
        <v>0.19923519009726048</v>
      </c>
    </row>
    <row r="82" spans="1:22" ht="17.25" customHeight="1" thickBot="1" x14ac:dyDescent="0.3">
      <c r="A82" s="492"/>
      <c r="B82" s="98" t="s">
        <v>253</v>
      </c>
      <c r="C82" s="491"/>
      <c r="D82" s="491"/>
      <c r="E82" s="491"/>
      <c r="F82" s="60">
        <v>5.2</v>
      </c>
      <c r="G82" s="60">
        <v>7.86</v>
      </c>
      <c r="H82" s="491"/>
      <c r="I82" s="491"/>
      <c r="J82" s="14">
        <v>45128</v>
      </c>
      <c r="K82" s="11" t="s">
        <v>257</v>
      </c>
      <c r="L82" s="34">
        <v>36.971200000000003</v>
      </c>
      <c r="M82" s="42" t="s">
        <v>2</v>
      </c>
      <c r="N82" s="42" t="s">
        <v>4</v>
      </c>
      <c r="O82" s="42" t="s">
        <v>4</v>
      </c>
      <c r="P82" s="74">
        <v>36.933</v>
      </c>
      <c r="Q82" s="74">
        <v>36.715000000000003</v>
      </c>
      <c r="R82" s="75">
        <v>45853</v>
      </c>
      <c r="S82" s="105">
        <f t="shared" si="8"/>
        <v>725</v>
      </c>
      <c r="T82" s="109">
        <f t="shared" si="11"/>
        <v>0.25619999999999976</v>
      </c>
      <c r="U82" s="108">
        <f t="shared" si="9"/>
        <v>0.24619999999999975</v>
      </c>
      <c r="V82" s="76">
        <f t="shared" si="10"/>
        <v>0.18503094606542864</v>
      </c>
    </row>
    <row r="83" spans="1:22" ht="16.95" customHeight="1" thickBot="1" x14ac:dyDescent="0.3">
      <c r="A83" s="686" t="s">
        <v>258</v>
      </c>
      <c r="B83" s="687"/>
      <c r="C83" s="687"/>
      <c r="D83" s="687"/>
      <c r="E83" s="687"/>
      <c r="F83" s="687"/>
      <c r="G83" s="687"/>
      <c r="H83" s="687"/>
      <c r="I83" s="687"/>
      <c r="J83" s="687"/>
      <c r="K83" s="687"/>
      <c r="L83" s="687"/>
      <c r="M83" s="687"/>
      <c r="N83" s="687"/>
      <c r="O83" s="687"/>
      <c r="P83" s="687"/>
      <c r="Q83" s="687"/>
      <c r="R83" s="687"/>
      <c r="S83" s="687"/>
      <c r="T83" s="687"/>
      <c r="U83" s="687"/>
      <c r="V83" s="688"/>
    </row>
    <row r="84" spans="1:22" ht="16.95" customHeight="1" x14ac:dyDescent="0.25">
      <c r="A84" s="492">
        <v>36</v>
      </c>
      <c r="B84" s="99" t="s">
        <v>259</v>
      </c>
      <c r="C84" s="732" t="s">
        <v>293</v>
      </c>
      <c r="D84" s="491" t="s">
        <v>89</v>
      </c>
      <c r="E84" s="491" t="s">
        <v>19</v>
      </c>
      <c r="F84" s="62">
        <v>5.2</v>
      </c>
      <c r="G84" s="62">
        <v>7.86</v>
      </c>
      <c r="H84" s="732" t="s">
        <v>298</v>
      </c>
      <c r="I84" s="491" t="s">
        <v>14</v>
      </c>
      <c r="J84" s="39">
        <v>45127</v>
      </c>
      <c r="K84" s="20" t="s">
        <v>260</v>
      </c>
      <c r="L84" s="35">
        <v>36.798000000000002</v>
      </c>
      <c r="M84" s="67" t="s">
        <v>2</v>
      </c>
      <c r="N84" s="67" t="s">
        <v>4</v>
      </c>
      <c r="O84" s="67" t="s">
        <v>4</v>
      </c>
      <c r="P84" s="77">
        <v>36.423000000000002</v>
      </c>
      <c r="Q84" s="77">
        <v>36.264000000000003</v>
      </c>
      <c r="R84" s="78">
        <v>45849</v>
      </c>
      <c r="S84" s="104">
        <f t="shared" si="8"/>
        <v>722</v>
      </c>
      <c r="T84" s="109">
        <f t="shared" ref="T84:T89" si="12">L84-Q84</f>
        <v>0.53399999999999892</v>
      </c>
      <c r="U84" s="109">
        <f t="shared" si="9"/>
        <v>0.52399999999999891</v>
      </c>
      <c r="V84" s="9">
        <f t="shared" si="10"/>
        <v>0.39544711982385028</v>
      </c>
    </row>
    <row r="85" spans="1:22" ht="16.95" customHeight="1" x14ac:dyDescent="0.25">
      <c r="A85" s="492"/>
      <c r="B85" s="99" t="s">
        <v>259</v>
      </c>
      <c r="C85" s="732"/>
      <c r="D85" s="491"/>
      <c r="E85" s="491"/>
      <c r="F85" s="60">
        <v>5.2</v>
      </c>
      <c r="G85" s="60">
        <v>7.86</v>
      </c>
      <c r="H85" s="732"/>
      <c r="I85" s="491"/>
      <c r="J85" s="39">
        <v>45127</v>
      </c>
      <c r="K85" s="11" t="s">
        <v>261</v>
      </c>
      <c r="L85" s="34">
        <v>36.907400000000003</v>
      </c>
      <c r="M85" s="17" t="s">
        <v>2</v>
      </c>
      <c r="N85" s="17" t="s">
        <v>4</v>
      </c>
      <c r="O85" s="17" t="s">
        <v>4</v>
      </c>
      <c r="P85" s="70">
        <v>36.603999999999999</v>
      </c>
      <c r="Q85" s="70">
        <v>36.448999999999998</v>
      </c>
      <c r="R85" s="71">
        <v>45849</v>
      </c>
      <c r="S85" s="72">
        <f t="shared" si="8"/>
        <v>722</v>
      </c>
      <c r="T85" s="109">
        <f t="shared" si="12"/>
        <v>0.45840000000000458</v>
      </c>
      <c r="U85" s="107">
        <f t="shared" si="9"/>
        <v>0.44840000000000457</v>
      </c>
      <c r="V85" s="22">
        <f t="shared" si="10"/>
        <v>0.33839406207827605</v>
      </c>
    </row>
    <row r="86" spans="1:22" ht="17.7" customHeight="1" x14ac:dyDescent="0.25">
      <c r="A86" s="492">
        <v>37</v>
      </c>
      <c r="B86" s="99" t="s">
        <v>262</v>
      </c>
      <c r="C86" s="491" t="s">
        <v>148</v>
      </c>
      <c r="D86" s="491" t="s">
        <v>89</v>
      </c>
      <c r="E86" s="491" t="s">
        <v>19</v>
      </c>
      <c r="F86" s="62">
        <v>5.2</v>
      </c>
      <c r="G86" s="62">
        <v>7.86</v>
      </c>
      <c r="H86" s="732" t="s">
        <v>299</v>
      </c>
      <c r="I86" s="491" t="s">
        <v>14</v>
      </c>
      <c r="J86" s="39">
        <v>45127</v>
      </c>
      <c r="K86" s="20" t="s">
        <v>263</v>
      </c>
      <c r="L86" s="35">
        <v>36.893799999999999</v>
      </c>
      <c r="M86" s="17" t="s">
        <v>2</v>
      </c>
      <c r="N86" s="17" t="s">
        <v>4</v>
      </c>
      <c r="O86" s="17" t="s">
        <v>4</v>
      </c>
      <c r="P86" s="70">
        <v>36.628999999999998</v>
      </c>
      <c r="Q86" s="70">
        <v>36.502000000000002</v>
      </c>
      <c r="R86" s="71">
        <v>45858</v>
      </c>
      <c r="S86" s="72">
        <f t="shared" si="8"/>
        <v>731</v>
      </c>
      <c r="T86" s="109">
        <f t="shared" si="12"/>
        <v>0.39179999999999637</v>
      </c>
      <c r="U86" s="107">
        <f t="shared" si="9"/>
        <v>0.38179999999999636</v>
      </c>
      <c r="V86" s="22">
        <f t="shared" si="10"/>
        <v>0.2845855694692877</v>
      </c>
    </row>
    <row r="87" spans="1:22" ht="16.95" customHeight="1" x14ac:dyDescent="0.25">
      <c r="A87" s="479"/>
      <c r="B87" s="99" t="s">
        <v>262</v>
      </c>
      <c r="C87" s="494"/>
      <c r="D87" s="494"/>
      <c r="E87" s="494"/>
      <c r="F87" s="60">
        <v>5.2</v>
      </c>
      <c r="G87" s="60">
        <v>7.86</v>
      </c>
      <c r="H87" s="733"/>
      <c r="I87" s="494"/>
      <c r="J87" s="39">
        <v>45127</v>
      </c>
      <c r="K87" s="15" t="s">
        <v>264</v>
      </c>
      <c r="L87" s="16">
        <v>36.893900000000002</v>
      </c>
      <c r="M87" s="17" t="s">
        <v>2</v>
      </c>
      <c r="N87" s="17" t="s">
        <v>4</v>
      </c>
      <c r="O87" s="17" t="s">
        <v>4</v>
      </c>
      <c r="P87" s="70">
        <v>36.622</v>
      </c>
      <c r="Q87" s="70">
        <v>36.423000000000002</v>
      </c>
      <c r="R87" s="71">
        <v>45858</v>
      </c>
      <c r="S87" s="72">
        <f t="shared" si="8"/>
        <v>731</v>
      </c>
      <c r="T87" s="109">
        <f t="shared" si="12"/>
        <v>0.47090000000000032</v>
      </c>
      <c r="U87" s="107">
        <f t="shared" si="9"/>
        <v>0.46090000000000031</v>
      </c>
      <c r="V87" s="22">
        <f t="shared" si="10"/>
        <v>0.34354502087060251</v>
      </c>
    </row>
    <row r="88" spans="1:22" ht="16.95" customHeight="1" x14ac:dyDescent="0.25">
      <c r="A88" s="478">
        <v>38</v>
      </c>
      <c r="B88" s="98" t="s">
        <v>265</v>
      </c>
      <c r="C88" s="489" t="s">
        <v>148</v>
      </c>
      <c r="D88" s="489" t="s">
        <v>89</v>
      </c>
      <c r="E88" s="489" t="s">
        <v>19</v>
      </c>
      <c r="F88" s="62">
        <v>5.2</v>
      </c>
      <c r="G88" s="62">
        <v>7.86</v>
      </c>
      <c r="H88" s="737" t="s">
        <v>300</v>
      </c>
      <c r="I88" s="489" t="s">
        <v>14</v>
      </c>
      <c r="J88" s="14">
        <v>45127</v>
      </c>
      <c r="K88" s="15" t="s">
        <v>266</v>
      </c>
      <c r="L88" s="16">
        <v>36.799300000000002</v>
      </c>
      <c r="M88" s="17" t="s">
        <v>2</v>
      </c>
      <c r="N88" s="17" t="s">
        <v>4</v>
      </c>
      <c r="O88" s="17" t="s">
        <v>4</v>
      </c>
      <c r="P88" s="70">
        <v>36.862000000000002</v>
      </c>
      <c r="Q88" s="70">
        <v>36.720999999999997</v>
      </c>
      <c r="R88" s="71">
        <v>45848</v>
      </c>
      <c r="S88" s="72">
        <f t="shared" si="8"/>
        <v>721</v>
      </c>
      <c r="T88" s="109">
        <f t="shared" si="12"/>
        <v>7.8300000000005809E-2</v>
      </c>
      <c r="U88" s="107">
        <f t="shared" si="9"/>
        <v>6.8300000000005814E-2</v>
      </c>
      <c r="V88" s="22">
        <f t="shared" si="10"/>
        <v>5.1615455741673727E-2</v>
      </c>
    </row>
    <row r="89" spans="1:22" ht="17.25" customHeight="1" thickBot="1" x14ac:dyDescent="0.3">
      <c r="A89" s="492"/>
      <c r="B89" s="98" t="s">
        <v>265</v>
      </c>
      <c r="C89" s="491"/>
      <c r="D89" s="491"/>
      <c r="E89" s="491"/>
      <c r="F89" s="60">
        <v>5.2</v>
      </c>
      <c r="G89" s="60">
        <v>7.86</v>
      </c>
      <c r="H89" s="732"/>
      <c r="I89" s="491"/>
      <c r="J89" s="39">
        <v>45127</v>
      </c>
      <c r="K89" s="11" t="s">
        <v>267</v>
      </c>
      <c r="L89" s="34">
        <v>37.027999999999999</v>
      </c>
      <c r="M89" s="42" t="s">
        <v>2</v>
      </c>
      <c r="N89" s="42" t="s">
        <v>4</v>
      </c>
      <c r="O89" s="42" t="s">
        <v>4</v>
      </c>
      <c r="P89" s="74">
        <v>37.125</v>
      </c>
      <c r="Q89" s="74">
        <v>36.957000000000001</v>
      </c>
      <c r="R89" s="75">
        <v>45848</v>
      </c>
      <c r="S89" s="105">
        <f t="shared" si="8"/>
        <v>721</v>
      </c>
      <c r="T89" s="109">
        <f t="shared" si="12"/>
        <v>7.0999999999997954E-2</v>
      </c>
      <c r="U89" s="108">
        <f t="shared" si="9"/>
        <v>6.0999999999997952E-2</v>
      </c>
      <c r="V89" s="76">
        <f t="shared" si="10"/>
        <v>4.6098723283187745E-2</v>
      </c>
    </row>
    <row r="90" spans="1:22" ht="16.95" customHeight="1" thickBot="1" x14ac:dyDescent="0.3">
      <c r="A90" s="664" t="s">
        <v>268</v>
      </c>
      <c r="B90" s="665"/>
      <c r="C90" s="665"/>
      <c r="D90" s="665"/>
      <c r="E90" s="665"/>
      <c r="F90" s="665"/>
      <c r="G90" s="665"/>
      <c r="H90" s="665"/>
      <c r="I90" s="665"/>
      <c r="J90" s="665"/>
      <c r="K90" s="665"/>
      <c r="L90" s="665"/>
      <c r="M90" s="665"/>
      <c r="N90" s="665"/>
      <c r="O90" s="665"/>
      <c r="P90" s="665"/>
      <c r="Q90" s="665"/>
      <c r="R90" s="665"/>
      <c r="S90" s="665"/>
      <c r="T90" s="665"/>
      <c r="U90" s="665"/>
      <c r="V90" s="666"/>
    </row>
    <row r="91" spans="1:22" ht="18" customHeight="1" x14ac:dyDescent="0.25">
      <c r="A91" s="492">
        <v>39</v>
      </c>
      <c r="B91" s="99" t="s">
        <v>269</v>
      </c>
      <c r="C91" s="732" t="s">
        <v>293</v>
      </c>
      <c r="D91" s="491" t="s">
        <v>89</v>
      </c>
      <c r="E91" s="491" t="s">
        <v>19</v>
      </c>
      <c r="F91" s="62">
        <v>5.2</v>
      </c>
      <c r="G91" s="62">
        <v>7.86</v>
      </c>
      <c r="H91" s="491" t="s">
        <v>270</v>
      </c>
      <c r="I91" s="491" t="s">
        <v>271</v>
      </c>
      <c r="J91" s="39">
        <v>45132</v>
      </c>
      <c r="K91" s="20" t="s">
        <v>272</v>
      </c>
      <c r="L91" s="35">
        <v>36.7849</v>
      </c>
      <c r="M91" s="67" t="s">
        <v>2</v>
      </c>
      <c r="N91" s="67" t="s">
        <v>4</v>
      </c>
      <c r="O91" s="67" t="s">
        <v>4</v>
      </c>
      <c r="P91" s="77">
        <v>37.079000000000001</v>
      </c>
      <c r="Q91" s="77">
        <v>36.667000000000002</v>
      </c>
      <c r="R91" s="78">
        <v>45856</v>
      </c>
      <c r="S91" s="104">
        <f t="shared" si="8"/>
        <v>724</v>
      </c>
      <c r="T91" s="109">
        <f t="shared" ref="T91:T92" si="13">L91-Q91</f>
        <v>0.11789999999999878</v>
      </c>
      <c r="U91" s="109">
        <f t="shared" si="9"/>
        <v>0.10789999999999879</v>
      </c>
      <c r="V91" s="9">
        <f t="shared" si="10"/>
        <v>8.120395948434532E-2</v>
      </c>
    </row>
    <row r="92" spans="1:22" ht="18.3" customHeight="1" thickBot="1" x14ac:dyDescent="0.3">
      <c r="A92" s="492"/>
      <c r="B92" s="99" t="s">
        <v>269</v>
      </c>
      <c r="C92" s="732"/>
      <c r="D92" s="491"/>
      <c r="E92" s="491"/>
      <c r="F92" s="60">
        <v>5.2</v>
      </c>
      <c r="G92" s="60">
        <v>7.86</v>
      </c>
      <c r="H92" s="491"/>
      <c r="I92" s="491"/>
      <c r="J92" s="39">
        <v>45132</v>
      </c>
      <c r="K92" s="11" t="s">
        <v>273</v>
      </c>
      <c r="L92" s="34">
        <v>36.958399999999997</v>
      </c>
      <c r="M92" s="42" t="s">
        <v>2</v>
      </c>
      <c r="N92" s="42" t="s">
        <v>4</v>
      </c>
      <c r="O92" s="42" t="s">
        <v>4</v>
      </c>
      <c r="P92" s="74">
        <v>37.264000000000003</v>
      </c>
      <c r="Q92" s="74">
        <v>36.802</v>
      </c>
      <c r="R92" s="75">
        <v>45856</v>
      </c>
      <c r="S92" s="105">
        <f t="shared" si="8"/>
        <v>724</v>
      </c>
      <c r="T92" s="109">
        <f t="shared" si="13"/>
        <v>0.15639999999999787</v>
      </c>
      <c r="U92" s="108">
        <f t="shared" si="9"/>
        <v>0.14639999999999787</v>
      </c>
      <c r="V92" s="76">
        <f t="shared" si="10"/>
        <v>0.11017849553760996</v>
      </c>
    </row>
    <row r="93" spans="1:22" ht="16.95" customHeight="1" thickBot="1" x14ac:dyDescent="0.3">
      <c r="A93" s="664" t="s">
        <v>274</v>
      </c>
      <c r="B93" s="665"/>
      <c r="C93" s="665"/>
      <c r="D93" s="665"/>
      <c r="E93" s="665"/>
      <c r="F93" s="665"/>
      <c r="G93" s="665"/>
      <c r="H93" s="665"/>
      <c r="I93" s="665"/>
      <c r="J93" s="665"/>
      <c r="K93" s="665"/>
      <c r="L93" s="665"/>
      <c r="M93" s="665"/>
      <c r="N93" s="665"/>
      <c r="O93" s="665"/>
      <c r="P93" s="665"/>
      <c r="Q93" s="665"/>
      <c r="R93" s="665"/>
      <c r="S93" s="665"/>
      <c r="T93" s="665"/>
      <c r="U93" s="665"/>
      <c r="V93" s="666"/>
    </row>
    <row r="94" spans="1:22" ht="18" customHeight="1" x14ac:dyDescent="0.25">
      <c r="A94" s="492">
        <v>40</v>
      </c>
      <c r="B94" s="493" t="s">
        <v>275</v>
      </c>
      <c r="C94" s="732" t="s">
        <v>301</v>
      </c>
      <c r="D94" s="734" t="s">
        <v>125</v>
      </c>
      <c r="E94" s="735"/>
      <c r="F94" s="735"/>
      <c r="G94" s="735"/>
      <c r="H94" s="735"/>
      <c r="I94" s="735"/>
      <c r="J94" s="736"/>
      <c r="K94" s="20" t="s">
        <v>126</v>
      </c>
      <c r="L94" s="83" t="s">
        <v>117</v>
      </c>
      <c r="M94" s="67" t="s">
        <v>2</v>
      </c>
      <c r="N94" s="67" t="s">
        <v>4</v>
      </c>
      <c r="O94" s="719" t="s">
        <v>120</v>
      </c>
      <c r="P94" s="77">
        <v>36.542000000000002</v>
      </c>
      <c r="Q94" s="77">
        <v>36.296999999999997</v>
      </c>
      <c r="R94" s="78">
        <v>45856</v>
      </c>
      <c r="S94" s="82"/>
      <c r="T94" s="109">
        <f t="shared" ref="T94:T95" si="14">P94-Q94</f>
        <v>0.24500000000000455</v>
      </c>
      <c r="U94" s="109">
        <f t="shared" si="9"/>
        <v>0.23500000000000454</v>
      </c>
      <c r="V94" s="22" t="s">
        <v>117</v>
      </c>
    </row>
    <row r="95" spans="1:22" ht="18.3" customHeight="1" x14ac:dyDescent="0.25">
      <c r="A95" s="479"/>
      <c r="B95" s="481"/>
      <c r="C95" s="733"/>
      <c r="D95" s="511"/>
      <c r="E95" s="512"/>
      <c r="F95" s="512"/>
      <c r="G95" s="512"/>
      <c r="H95" s="512"/>
      <c r="I95" s="512"/>
      <c r="J95" s="513"/>
      <c r="K95" s="15" t="s">
        <v>127</v>
      </c>
      <c r="L95" s="41" t="s">
        <v>117</v>
      </c>
      <c r="M95" s="17" t="s">
        <v>2</v>
      </c>
      <c r="N95" s="17" t="s">
        <v>4</v>
      </c>
      <c r="O95" s="711"/>
      <c r="P95" s="70">
        <v>36.311999999999998</v>
      </c>
      <c r="Q95" s="70">
        <v>35.997</v>
      </c>
      <c r="R95" s="71">
        <v>45856</v>
      </c>
      <c r="S95" s="73"/>
      <c r="T95" s="107">
        <f t="shared" si="14"/>
        <v>0.31499999999999773</v>
      </c>
      <c r="U95" s="107">
        <f t="shared" si="9"/>
        <v>0.30499999999999772</v>
      </c>
      <c r="V95" s="22" t="s">
        <v>117</v>
      </c>
    </row>
    <row r="96" spans="1:22" ht="18.3" customHeight="1" x14ac:dyDescent="0.25">
      <c r="A96" s="478">
        <v>41</v>
      </c>
      <c r="B96" s="98" t="s">
        <v>276</v>
      </c>
      <c r="C96" s="489" t="s">
        <v>148</v>
      </c>
      <c r="D96" s="489" t="s">
        <v>89</v>
      </c>
      <c r="E96" s="489" t="s">
        <v>19</v>
      </c>
      <c r="F96" s="62">
        <v>5.2</v>
      </c>
      <c r="G96" s="62">
        <v>7.86</v>
      </c>
      <c r="H96" s="489" t="s">
        <v>233</v>
      </c>
      <c r="I96" s="489" t="s">
        <v>14</v>
      </c>
      <c r="J96" s="14">
        <v>45131</v>
      </c>
      <c r="K96" s="15" t="s">
        <v>277</v>
      </c>
      <c r="L96" s="16">
        <v>37.034199999999998</v>
      </c>
      <c r="M96" s="17" t="s">
        <v>2</v>
      </c>
      <c r="N96" s="17" t="s">
        <v>4</v>
      </c>
      <c r="O96" s="17" t="s">
        <v>4</v>
      </c>
      <c r="P96" s="70">
        <v>37.021000000000001</v>
      </c>
      <c r="Q96" s="70">
        <v>36.99</v>
      </c>
      <c r="R96" s="71">
        <v>45856</v>
      </c>
      <c r="S96" s="72">
        <f t="shared" si="8"/>
        <v>725</v>
      </c>
      <c r="T96" s="109">
        <f t="shared" ref="T96:T103" si="15">L96-Q96</f>
        <v>4.4199999999996464E-2</v>
      </c>
      <c r="U96" s="107">
        <f t="shared" si="9"/>
        <v>3.4199999999996462E-2</v>
      </c>
      <c r="V96" s="22">
        <f t="shared" si="10"/>
        <v>2.5702917771880631E-2</v>
      </c>
    </row>
    <row r="97" spans="1:22" ht="18.3" customHeight="1" x14ac:dyDescent="0.25">
      <c r="A97" s="479"/>
      <c r="B97" s="98" t="s">
        <v>276</v>
      </c>
      <c r="C97" s="494"/>
      <c r="D97" s="494"/>
      <c r="E97" s="494"/>
      <c r="F97" s="60">
        <v>5.2</v>
      </c>
      <c r="G97" s="60">
        <v>7.86</v>
      </c>
      <c r="H97" s="494"/>
      <c r="I97" s="494"/>
      <c r="J97" s="14">
        <v>45131</v>
      </c>
      <c r="K97" s="15" t="s">
        <v>278</v>
      </c>
      <c r="L97" s="16">
        <v>37.021000000000001</v>
      </c>
      <c r="M97" s="17" t="s">
        <v>2</v>
      </c>
      <c r="N97" s="17" t="s">
        <v>4</v>
      </c>
      <c r="O97" s="17" t="s">
        <v>4</v>
      </c>
      <c r="P97" s="70">
        <v>37.024999999999999</v>
      </c>
      <c r="Q97" s="70">
        <v>36.988999999999997</v>
      </c>
      <c r="R97" s="71">
        <v>45856</v>
      </c>
      <c r="S97" s="72">
        <f t="shared" si="8"/>
        <v>725</v>
      </c>
      <c r="T97" s="109">
        <f t="shared" si="15"/>
        <v>3.2000000000003581E-2</v>
      </c>
      <c r="U97" s="107">
        <f t="shared" si="9"/>
        <v>2.2000000000003579E-2</v>
      </c>
      <c r="V97" s="22">
        <f t="shared" si="10"/>
        <v>1.6534040671974396E-2</v>
      </c>
    </row>
    <row r="98" spans="1:22" ht="18.3" customHeight="1" x14ac:dyDescent="0.25">
      <c r="A98" s="478">
        <v>42</v>
      </c>
      <c r="B98" s="98" t="s">
        <v>279</v>
      </c>
      <c r="C98" s="489" t="s">
        <v>254</v>
      </c>
      <c r="D98" s="489" t="s">
        <v>89</v>
      </c>
      <c r="E98" s="489" t="s">
        <v>19</v>
      </c>
      <c r="F98" s="62">
        <v>5.2</v>
      </c>
      <c r="G98" s="62">
        <v>7.86</v>
      </c>
      <c r="H98" s="489" t="s">
        <v>209</v>
      </c>
      <c r="I98" s="489" t="s">
        <v>271</v>
      </c>
      <c r="J98" s="14">
        <v>45131</v>
      </c>
      <c r="K98" s="15" t="s">
        <v>280</v>
      </c>
      <c r="L98" s="16">
        <v>36.781599999999997</v>
      </c>
      <c r="M98" s="17" t="s">
        <v>2</v>
      </c>
      <c r="N98" s="17" t="s">
        <v>4</v>
      </c>
      <c r="O98" s="17" t="s">
        <v>4</v>
      </c>
      <c r="P98" s="70">
        <v>36.783999999999999</v>
      </c>
      <c r="Q98" s="70">
        <v>36.737000000000002</v>
      </c>
      <c r="R98" s="71">
        <v>45856</v>
      </c>
      <c r="S98" s="72">
        <f t="shared" si="8"/>
        <v>725</v>
      </c>
      <c r="T98" s="109">
        <f t="shared" si="15"/>
        <v>4.4599999999995532E-2</v>
      </c>
      <c r="U98" s="107">
        <f t="shared" si="9"/>
        <v>3.459999999999553E-2</v>
      </c>
      <c r="V98" s="22">
        <f t="shared" si="10"/>
        <v>2.6003536693188504E-2</v>
      </c>
    </row>
    <row r="99" spans="1:22" ht="18.3" customHeight="1" x14ac:dyDescent="0.25">
      <c r="A99" s="479"/>
      <c r="B99" s="98" t="s">
        <v>279</v>
      </c>
      <c r="C99" s="494"/>
      <c r="D99" s="494"/>
      <c r="E99" s="494"/>
      <c r="F99" s="60">
        <v>5.2</v>
      </c>
      <c r="G99" s="60">
        <v>7.86</v>
      </c>
      <c r="H99" s="494"/>
      <c r="I99" s="494"/>
      <c r="J99" s="14">
        <v>45131</v>
      </c>
      <c r="K99" s="15" t="s">
        <v>281</v>
      </c>
      <c r="L99" s="16">
        <v>36.943100000000001</v>
      </c>
      <c r="M99" s="17" t="s">
        <v>2</v>
      </c>
      <c r="N99" s="17" t="s">
        <v>4</v>
      </c>
      <c r="O99" s="17" t="s">
        <v>4</v>
      </c>
      <c r="P99" s="70">
        <v>36.987000000000002</v>
      </c>
      <c r="Q99" s="70">
        <v>36.935000000000002</v>
      </c>
      <c r="R99" s="71">
        <v>45856</v>
      </c>
      <c r="S99" s="72">
        <f t="shared" si="8"/>
        <v>725</v>
      </c>
      <c r="T99" s="109">
        <f t="shared" si="15"/>
        <v>8.0999999999988859E-3</v>
      </c>
      <c r="U99" s="107">
        <f t="shared" si="9"/>
        <v>-1.9000000000011143E-3</v>
      </c>
      <c r="V99" s="22">
        <f t="shared" si="10"/>
        <v>-1.4279398762165757E-3</v>
      </c>
    </row>
    <row r="100" spans="1:22" ht="18.3" customHeight="1" x14ac:dyDescent="0.25">
      <c r="A100" s="478">
        <v>43</v>
      </c>
      <c r="B100" s="98" t="s">
        <v>282</v>
      </c>
      <c r="C100" s="489" t="s">
        <v>283</v>
      </c>
      <c r="D100" s="489" t="s">
        <v>89</v>
      </c>
      <c r="E100" s="489" t="s">
        <v>19</v>
      </c>
      <c r="F100" s="62">
        <v>5.2</v>
      </c>
      <c r="G100" s="62">
        <v>7.86</v>
      </c>
      <c r="H100" s="489" t="s">
        <v>229</v>
      </c>
      <c r="I100" s="489" t="s">
        <v>14</v>
      </c>
      <c r="J100" s="14">
        <v>45132</v>
      </c>
      <c r="K100" s="15" t="s">
        <v>284</v>
      </c>
      <c r="L100" s="16">
        <v>36.893900000000002</v>
      </c>
      <c r="M100" s="17" t="s">
        <v>2</v>
      </c>
      <c r="N100" s="17" t="s">
        <v>4</v>
      </c>
      <c r="O100" s="17" t="s">
        <v>4</v>
      </c>
      <c r="P100" s="70">
        <v>36.686</v>
      </c>
      <c r="Q100" s="70">
        <v>36.622</v>
      </c>
      <c r="R100" s="71">
        <v>45856</v>
      </c>
      <c r="S100" s="72">
        <f t="shared" si="8"/>
        <v>724</v>
      </c>
      <c r="T100" s="109">
        <f t="shared" si="15"/>
        <v>0.27190000000000225</v>
      </c>
      <c r="U100" s="107">
        <f t="shared" si="9"/>
        <v>0.26190000000000224</v>
      </c>
      <c r="V100" s="22">
        <f t="shared" si="10"/>
        <v>0.19710210369740924</v>
      </c>
    </row>
    <row r="101" spans="1:22" ht="18.3" customHeight="1" x14ac:dyDescent="0.25">
      <c r="A101" s="479"/>
      <c r="B101" s="98" t="s">
        <v>282</v>
      </c>
      <c r="C101" s="494"/>
      <c r="D101" s="494"/>
      <c r="E101" s="494"/>
      <c r="F101" s="60">
        <v>5.2</v>
      </c>
      <c r="G101" s="60">
        <v>7.86</v>
      </c>
      <c r="H101" s="494"/>
      <c r="I101" s="494"/>
      <c r="J101" s="14">
        <v>45132</v>
      </c>
      <c r="K101" s="15" t="s">
        <v>285</v>
      </c>
      <c r="L101" s="16">
        <v>36.893900000000002</v>
      </c>
      <c r="M101" s="17" t="s">
        <v>2</v>
      </c>
      <c r="N101" s="17" t="s">
        <v>4</v>
      </c>
      <c r="O101" s="17" t="s">
        <v>4</v>
      </c>
      <c r="P101" s="70">
        <v>36.863999999999997</v>
      </c>
      <c r="Q101" s="70">
        <v>36.811999999999998</v>
      </c>
      <c r="R101" s="71">
        <v>45856</v>
      </c>
      <c r="S101" s="72">
        <f t="shared" si="8"/>
        <v>724</v>
      </c>
      <c r="T101" s="109">
        <f t="shared" si="15"/>
        <v>8.1900000000004525E-2</v>
      </c>
      <c r="U101" s="107">
        <f t="shared" si="9"/>
        <v>7.190000000000453E-2</v>
      </c>
      <c r="V101" s="22">
        <f t="shared" si="10"/>
        <v>5.4110886811166464E-2</v>
      </c>
    </row>
    <row r="102" spans="1:22" ht="18.3" customHeight="1" x14ac:dyDescent="0.25">
      <c r="A102" s="478">
        <v>44</v>
      </c>
      <c r="B102" s="98" t="s">
        <v>286</v>
      </c>
      <c r="C102" s="489" t="s">
        <v>283</v>
      </c>
      <c r="D102" s="489" t="s">
        <v>89</v>
      </c>
      <c r="E102" s="489" t="s">
        <v>19</v>
      </c>
      <c r="F102" s="62">
        <v>5.2</v>
      </c>
      <c r="G102" s="62">
        <v>7.86</v>
      </c>
      <c r="H102" s="489" t="s">
        <v>287</v>
      </c>
      <c r="I102" s="489" t="s">
        <v>271</v>
      </c>
      <c r="J102" s="14">
        <v>45132</v>
      </c>
      <c r="K102" s="15" t="s">
        <v>288</v>
      </c>
      <c r="L102" s="16">
        <v>36.690300000000001</v>
      </c>
      <c r="M102" s="17" t="s">
        <v>2</v>
      </c>
      <c r="N102" s="17" t="s">
        <v>4</v>
      </c>
      <c r="O102" s="17" t="s">
        <v>4</v>
      </c>
      <c r="P102" s="70">
        <v>36.661999999999999</v>
      </c>
      <c r="Q102" s="70">
        <v>36.512</v>
      </c>
      <c r="R102" s="71">
        <v>45856</v>
      </c>
      <c r="S102" s="72">
        <f t="shared" si="8"/>
        <v>724</v>
      </c>
      <c r="T102" s="109">
        <f t="shared" si="15"/>
        <v>0.17830000000000013</v>
      </c>
      <c r="U102" s="107">
        <f t="shared" si="9"/>
        <v>0.16830000000000012</v>
      </c>
      <c r="V102" s="22">
        <f t="shared" si="10"/>
        <v>0.1266601147471314</v>
      </c>
    </row>
    <row r="103" spans="1:22" ht="18.3" customHeight="1" thickBot="1" x14ac:dyDescent="0.3">
      <c r="A103" s="492"/>
      <c r="B103" s="98" t="s">
        <v>286</v>
      </c>
      <c r="C103" s="491"/>
      <c r="D103" s="491"/>
      <c r="E103" s="491"/>
      <c r="F103" s="60">
        <v>5.2</v>
      </c>
      <c r="G103" s="60">
        <v>7.86</v>
      </c>
      <c r="H103" s="491"/>
      <c r="I103" s="491"/>
      <c r="J103" s="14">
        <v>45132</v>
      </c>
      <c r="K103" s="11" t="s">
        <v>289</v>
      </c>
      <c r="L103" s="34">
        <v>36.973599999999998</v>
      </c>
      <c r="M103" s="42" t="s">
        <v>2</v>
      </c>
      <c r="N103" s="42" t="s">
        <v>4</v>
      </c>
      <c r="O103" s="17" t="s">
        <v>4</v>
      </c>
      <c r="P103" s="70">
        <v>36.954999999999998</v>
      </c>
      <c r="Q103" s="70">
        <v>36.801000000000002</v>
      </c>
      <c r="R103" s="71">
        <v>45856</v>
      </c>
      <c r="S103" s="72">
        <f t="shared" si="8"/>
        <v>724</v>
      </c>
      <c r="T103" s="109">
        <f t="shared" si="15"/>
        <v>0.17259999999999565</v>
      </c>
      <c r="U103" s="107">
        <f t="shared" si="9"/>
        <v>0.16259999999999564</v>
      </c>
      <c r="V103" s="22">
        <f t="shared" si="10"/>
        <v>0.1223703782405407</v>
      </c>
    </row>
    <row r="104" spans="1:22" x14ac:dyDescent="0.25">
      <c r="A104" s="712" t="s">
        <v>5</v>
      </c>
      <c r="B104" s="713"/>
      <c r="C104" s="713"/>
      <c r="D104" s="713"/>
      <c r="E104" s="713"/>
      <c r="F104" s="713"/>
      <c r="G104" s="713"/>
      <c r="H104" s="713"/>
      <c r="I104" s="713"/>
      <c r="J104" s="713"/>
      <c r="K104" s="713"/>
      <c r="L104" s="713"/>
      <c r="M104" s="712" t="s">
        <v>6</v>
      </c>
      <c r="N104" s="713"/>
      <c r="O104" s="730"/>
      <c r="P104" s="670"/>
      <c r="Q104" s="671"/>
      <c r="R104" s="671"/>
      <c r="S104" s="671"/>
      <c r="T104" s="671"/>
      <c r="U104" s="671"/>
      <c r="V104" s="672"/>
    </row>
    <row r="105" spans="1:22" ht="14.4" thickBot="1" x14ac:dyDescent="0.3">
      <c r="A105" s="731" t="s">
        <v>7</v>
      </c>
      <c r="B105" s="613"/>
      <c r="C105" s="613"/>
      <c r="D105" s="613"/>
      <c r="E105" s="613"/>
      <c r="F105" s="613"/>
      <c r="G105" s="613"/>
      <c r="H105" s="613"/>
      <c r="I105" s="613"/>
      <c r="J105" s="613"/>
      <c r="K105" s="613"/>
      <c r="L105" s="613"/>
      <c r="M105" s="731" t="s">
        <v>6</v>
      </c>
      <c r="N105" s="613"/>
      <c r="O105" s="705"/>
      <c r="P105" s="673"/>
      <c r="Q105" s="674"/>
      <c r="R105" s="674"/>
      <c r="S105" s="674"/>
      <c r="T105" s="674"/>
      <c r="U105" s="674"/>
      <c r="V105" s="675"/>
    </row>
    <row r="106" spans="1:22" ht="21" customHeight="1" thickBot="1" x14ac:dyDescent="0.3">
      <c r="A106" s="667" t="s">
        <v>86</v>
      </c>
      <c r="B106" s="668"/>
      <c r="C106" s="668"/>
      <c r="D106" s="668"/>
      <c r="E106" s="668"/>
      <c r="F106" s="668"/>
      <c r="G106" s="668"/>
      <c r="H106" s="668"/>
      <c r="I106" s="668"/>
      <c r="J106" s="668"/>
      <c r="K106" s="668"/>
      <c r="L106" s="668"/>
      <c r="M106" s="668"/>
      <c r="N106" s="668"/>
      <c r="O106" s="668"/>
      <c r="P106" s="668"/>
      <c r="Q106" s="668"/>
      <c r="R106" s="668"/>
      <c r="S106" s="668"/>
      <c r="T106" s="668"/>
      <c r="U106" s="668"/>
      <c r="V106" s="669"/>
    </row>
    <row r="107" spans="1:22" ht="13.8" customHeight="1" thickBot="1" x14ac:dyDescent="0.3">
      <c r="A107" s="664" t="s">
        <v>10</v>
      </c>
      <c r="B107" s="665"/>
      <c r="C107" s="665"/>
      <c r="D107" s="665"/>
      <c r="E107" s="665"/>
      <c r="F107" s="665"/>
      <c r="G107" s="665"/>
      <c r="H107" s="665"/>
      <c r="I107" s="665"/>
      <c r="J107" s="665"/>
      <c r="K107" s="665"/>
      <c r="L107" s="665"/>
      <c r="M107" s="665"/>
      <c r="N107" s="665"/>
      <c r="O107" s="665"/>
      <c r="P107" s="665"/>
      <c r="Q107" s="665"/>
      <c r="R107" s="665"/>
      <c r="S107" s="665"/>
      <c r="T107" s="665"/>
      <c r="U107" s="665"/>
      <c r="V107" s="666"/>
    </row>
    <row r="108" spans="1:22" s="43" customFormat="1" x14ac:dyDescent="0.25">
      <c r="A108" s="492">
        <v>1</v>
      </c>
      <c r="B108" s="493" t="s">
        <v>11</v>
      </c>
      <c r="C108" s="518" t="s">
        <v>12</v>
      </c>
      <c r="D108" s="386" t="s">
        <v>89</v>
      </c>
      <c r="E108" s="525" t="s">
        <v>19</v>
      </c>
      <c r="F108" s="62">
        <v>5.2</v>
      </c>
      <c r="G108" s="62">
        <v>7.86</v>
      </c>
      <c r="H108" s="517" t="s">
        <v>13</v>
      </c>
      <c r="I108" s="517" t="s">
        <v>14</v>
      </c>
      <c r="J108" s="54">
        <v>45121</v>
      </c>
      <c r="K108" s="50" t="s">
        <v>15</v>
      </c>
      <c r="L108" s="52">
        <v>36.682499999999997</v>
      </c>
      <c r="M108" s="87" t="s">
        <v>2</v>
      </c>
      <c r="N108" s="87" t="s">
        <v>4</v>
      </c>
      <c r="O108" s="67" t="s">
        <v>4</v>
      </c>
      <c r="P108" s="77">
        <v>36.692999999999998</v>
      </c>
      <c r="Q108" s="77">
        <v>36.676000000000002</v>
      </c>
      <c r="R108" s="78">
        <v>45837</v>
      </c>
      <c r="S108" s="104">
        <f t="shared" si="8"/>
        <v>716</v>
      </c>
      <c r="T108" s="109">
        <f>L108-Q108</f>
        <v>6.4999999999955094E-3</v>
      </c>
      <c r="U108" s="109">
        <f>T108</f>
        <v>6.4999999999955094E-3</v>
      </c>
      <c r="V108" s="9">
        <f t="shared" si="10"/>
        <v>4.9464618249500276E-3</v>
      </c>
    </row>
    <row r="109" spans="1:22" s="43" customFormat="1" ht="14.4" thickBot="1" x14ac:dyDescent="0.3">
      <c r="A109" s="492"/>
      <c r="B109" s="493"/>
      <c r="C109" s="693"/>
      <c r="D109" s="385"/>
      <c r="E109" s="525"/>
      <c r="F109" s="60">
        <v>5.2</v>
      </c>
      <c r="G109" s="60">
        <v>7.86</v>
      </c>
      <c r="H109" s="517"/>
      <c r="I109" s="517"/>
      <c r="J109" s="45">
        <v>45121</v>
      </c>
      <c r="K109" s="44" t="s">
        <v>474</v>
      </c>
      <c r="L109" s="51">
        <v>36.9544</v>
      </c>
      <c r="M109" s="42" t="s">
        <v>2</v>
      </c>
      <c r="N109" s="42" t="s">
        <v>4</v>
      </c>
      <c r="O109" s="42" t="s">
        <v>4</v>
      </c>
      <c r="P109" s="74">
        <v>36.966000000000001</v>
      </c>
      <c r="Q109" s="74">
        <v>36.947000000000003</v>
      </c>
      <c r="R109" s="75">
        <v>45837</v>
      </c>
      <c r="S109" s="105">
        <f t="shared" si="8"/>
        <v>716</v>
      </c>
      <c r="T109" s="109">
        <f>L109-Q109</f>
        <v>7.3999999999969646E-3</v>
      </c>
      <c r="U109" s="108">
        <f>T109</f>
        <v>7.3999999999969646E-3</v>
      </c>
      <c r="V109" s="76">
        <f t="shared" si="10"/>
        <v>5.6313565391754583E-3</v>
      </c>
    </row>
    <row r="110" spans="1:22" ht="13.8" customHeight="1" thickBot="1" x14ac:dyDescent="0.3">
      <c r="A110" s="664" t="s">
        <v>18</v>
      </c>
      <c r="B110" s="665"/>
      <c r="C110" s="665"/>
      <c r="D110" s="665"/>
      <c r="E110" s="665"/>
      <c r="F110" s="665"/>
      <c r="G110" s="665"/>
      <c r="H110" s="665"/>
      <c r="I110" s="665"/>
      <c r="J110" s="665"/>
      <c r="K110" s="665"/>
      <c r="L110" s="665"/>
      <c r="M110" s="665"/>
      <c r="N110" s="665"/>
      <c r="O110" s="665"/>
      <c r="P110" s="665"/>
      <c r="Q110" s="665"/>
      <c r="R110" s="665"/>
      <c r="S110" s="665"/>
      <c r="T110" s="665"/>
      <c r="U110" s="665"/>
      <c r="V110" s="666"/>
    </row>
    <row r="111" spans="1:22" x14ac:dyDescent="0.25">
      <c r="A111" s="492">
        <v>2</v>
      </c>
      <c r="B111" s="493" t="s">
        <v>20</v>
      </c>
      <c r="C111" s="518" t="s">
        <v>21</v>
      </c>
      <c r="D111" s="386" t="s">
        <v>89</v>
      </c>
      <c r="E111" s="525" t="s">
        <v>19</v>
      </c>
      <c r="F111" s="62">
        <v>5.2</v>
      </c>
      <c r="G111" s="62">
        <v>7.86</v>
      </c>
      <c r="H111" s="517" t="s">
        <v>22</v>
      </c>
      <c r="I111" s="517" t="s">
        <v>14</v>
      </c>
      <c r="J111" s="54">
        <v>45118</v>
      </c>
      <c r="K111" s="50" t="s">
        <v>24</v>
      </c>
      <c r="L111" s="52">
        <v>36.9636</v>
      </c>
      <c r="M111" s="87" t="s">
        <v>2</v>
      </c>
      <c r="N111" s="87" t="s">
        <v>4</v>
      </c>
      <c r="O111" s="67" t="s">
        <v>4</v>
      </c>
      <c r="P111" s="77">
        <v>36.979999999999997</v>
      </c>
      <c r="Q111" s="77">
        <v>36.926000000000002</v>
      </c>
      <c r="R111" s="78">
        <v>45837</v>
      </c>
      <c r="S111" s="104">
        <f t="shared" si="8"/>
        <v>719</v>
      </c>
      <c r="T111" s="109">
        <f>L111-Q111</f>
        <v>3.7599999999997635E-2</v>
      </c>
      <c r="U111" s="109">
        <f t="shared" si="9"/>
        <v>2.7599999999997633E-2</v>
      </c>
      <c r="V111" s="9">
        <f t="shared" si="10"/>
        <v>2.0915801861558066E-2</v>
      </c>
    </row>
    <row r="112" spans="1:22" x14ac:dyDescent="0.25">
      <c r="A112" s="479"/>
      <c r="B112" s="481"/>
      <c r="C112" s="729"/>
      <c r="D112" s="404"/>
      <c r="E112" s="485"/>
      <c r="F112" s="60">
        <v>5.2</v>
      </c>
      <c r="G112" s="60">
        <v>7.86</v>
      </c>
      <c r="H112" s="487"/>
      <c r="I112" s="487"/>
      <c r="J112" s="45">
        <v>45118</v>
      </c>
      <c r="K112" s="46" t="s">
        <v>25</v>
      </c>
      <c r="L112" s="47">
        <v>36.632300000000001</v>
      </c>
      <c r="M112" s="42" t="s">
        <v>2</v>
      </c>
      <c r="N112" s="42" t="s">
        <v>4</v>
      </c>
      <c r="O112" s="17" t="s">
        <v>4</v>
      </c>
      <c r="P112" s="70">
        <v>36.646000000000001</v>
      </c>
      <c r="Q112" s="70">
        <v>36.604999999999997</v>
      </c>
      <c r="R112" s="71">
        <v>45837</v>
      </c>
      <c r="S112" s="72">
        <f t="shared" si="8"/>
        <v>719</v>
      </c>
      <c r="T112" s="109">
        <f>L112-Q112</f>
        <v>2.7300000000003877E-2</v>
      </c>
      <c r="U112" s="107">
        <f t="shared" si="9"/>
        <v>1.7300000000003875E-2</v>
      </c>
      <c r="V112" s="22">
        <f t="shared" si="10"/>
        <v>1.3110267108879225E-2</v>
      </c>
    </row>
    <row r="113" spans="1:22" x14ac:dyDescent="0.25">
      <c r="A113" s="478">
        <v>3</v>
      </c>
      <c r="B113" s="480" t="s">
        <v>29</v>
      </c>
      <c r="C113" s="482" t="s">
        <v>21</v>
      </c>
      <c r="D113" s="404" t="s">
        <v>89</v>
      </c>
      <c r="E113" s="484" t="s">
        <v>19</v>
      </c>
      <c r="F113" s="62">
        <v>5.2</v>
      </c>
      <c r="G113" s="62">
        <v>7.86</v>
      </c>
      <c r="H113" s="486" t="s">
        <v>23</v>
      </c>
      <c r="I113" s="486" t="s">
        <v>14</v>
      </c>
      <c r="J113" s="45">
        <v>45118</v>
      </c>
      <c r="K113" s="46" t="s">
        <v>26</v>
      </c>
      <c r="L113" s="47">
        <v>36.775100000000002</v>
      </c>
      <c r="M113" s="42" t="s">
        <v>2</v>
      </c>
      <c r="N113" s="42" t="s">
        <v>4</v>
      </c>
      <c r="O113" s="17" t="s">
        <v>4</v>
      </c>
      <c r="P113" s="70">
        <v>36.790999999999997</v>
      </c>
      <c r="Q113" s="70">
        <v>36.734000000000002</v>
      </c>
      <c r="R113" s="71">
        <v>45837</v>
      </c>
      <c r="S113" s="72">
        <f t="shared" si="8"/>
        <v>719</v>
      </c>
      <c r="T113" s="109">
        <f>L113-Q113</f>
        <v>4.1100000000000136E-2</v>
      </c>
      <c r="U113" s="107">
        <f t="shared" si="9"/>
        <v>3.1100000000000134E-2</v>
      </c>
      <c r="V113" s="22">
        <f t="shared" si="10"/>
        <v>2.356816803965632E-2</v>
      </c>
    </row>
    <row r="114" spans="1:22" ht="14.4" thickBot="1" x14ac:dyDescent="0.3">
      <c r="A114" s="492"/>
      <c r="B114" s="493"/>
      <c r="C114" s="693"/>
      <c r="D114" s="385"/>
      <c r="E114" s="525"/>
      <c r="F114" s="60">
        <v>5.2</v>
      </c>
      <c r="G114" s="60">
        <v>7.86</v>
      </c>
      <c r="H114" s="517"/>
      <c r="I114" s="517"/>
      <c r="J114" s="45">
        <v>45118</v>
      </c>
      <c r="K114" s="44" t="s">
        <v>27</v>
      </c>
      <c r="L114" s="51">
        <v>36.742800000000003</v>
      </c>
      <c r="M114" s="42" t="s">
        <v>2</v>
      </c>
      <c r="N114" s="42" t="s">
        <v>4</v>
      </c>
      <c r="O114" s="42" t="s">
        <v>4</v>
      </c>
      <c r="P114" s="74">
        <v>36.759</v>
      </c>
      <c r="Q114" s="74">
        <v>36.71</v>
      </c>
      <c r="R114" s="75">
        <v>45837</v>
      </c>
      <c r="S114" s="105">
        <f t="shared" si="8"/>
        <v>719</v>
      </c>
      <c r="T114" s="109">
        <f>L114-Q114</f>
        <v>3.2800000000001717E-2</v>
      </c>
      <c r="U114" s="108">
        <f t="shared" si="9"/>
        <v>2.2800000000001715E-2</v>
      </c>
      <c r="V114" s="76">
        <f t="shared" si="10"/>
        <v>1.7278271103029007E-2</v>
      </c>
    </row>
    <row r="115" spans="1:22" ht="13.8" customHeight="1" thickBot="1" x14ac:dyDescent="0.3">
      <c r="A115" s="664" t="s">
        <v>30</v>
      </c>
      <c r="B115" s="665"/>
      <c r="C115" s="665"/>
      <c r="D115" s="665"/>
      <c r="E115" s="665"/>
      <c r="F115" s="665"/>
      <c r="G115" s="665"/>
      <c r="H115" s="665"/>
      <c r="I115" s="665"/>
      <c r="J115" s="665"/>
      <c r="K115" s="665"/>
      <c r="L115" s="665"/>
      <c r="M115" s="665"/>
      <c r="N115" s="665"/>
      <c r="O115" s="665"/>
      <c r="P115" s="665"/>
      <c r="Q115" s="665"/>
      <c r="R115" s="665"/>
      <c r="S115" s="665"/>
      <c r="T115" s="665"/>
      <c r="U115" s="665"/>
      <c r="V115" s="666"/>
    </row>
    <row r="116" spans="1:22" x14ac:dyDescent="0.25">
      <c r="A116" s="492">
        <v>4</v>
      </c>
      <c r="B116" s="493" t="s">
        <v>31</v>
      </c>
      <c r="C116" s="518" t="s">
        <v>35</v>
      </c>
      <c r="D116" s="386" t="s">
        <v>36</v>
      </c>
      <c r="E116" s="525" t="s">
        <v>19</v>
      </c>
      <c r="F116" s="517">
        <v>2.5</v>
      </c>
      <c r="G116" s="517">
        <v>7.86</v>
      </c>
      <c r="H116" s="517" t="s">
        <v>37</v>
      </c>
      <c r="I116" s="517" t="s">
        <v>14</v>
      </c>
      <c r="J116" s="703">
        <v>45117</v>
      </c>
      <c r="K116" s="517" t="s">
        <v>38</v>
      </c>
      <c r="L116" s="690">
        <v>17.452100000000002</v>
      </c>
      <c r="M116" s="708" t="s">
        <v>2</v>
      </c>
      <c r="N116" s="709" t="s">
        <v>4</v>
      </c>
      <c r="O116" s="67" t="s">
        <v>4</v>
      </c>
      <c r="P116" s="681">
        <v>17.466999999999999</v>
      </c>
      <c r="Q116" s="681">
        <v>17.445</v>
      </c>
      <c r="R116" s="682">
        <v>45835</v>
      </c>
      <c r="S116" s="684">
        <f t="shared" si="8"/>
        <v>718</v>
      </c>
      <c r="T116" s="676">
        <f>L116-Q116</f>
        <v>7.1000000000012164E-3</v>
      </c>
      <c r="U116" s="676">
        <f>T116</f>
        <v>7.1000000000012164E-3</v>
      </c>
      <c r="V116" s="661">
        <f t="shared" si="10"/>
        <v>1.1207056638813433E-2</v>
      </c>
    </row>
    <row r="117" spans="1:22" x14ac:dyDescent="0.25">
      <c r="A117" s="479"/>
      <c r="B117" s="481"/>
      <c r="C117" s="729"/>
      <c r="D117" s="404"/>
      <c r="E117" s="485"/>
      <c r="F117" s="487"/>
      <c r="G117" s="487"/>
      <c r="H117" s="487"/>
      <c r="I117" s="487"/>
      <c r="J117" s="695"/>
      <c r="K117" s="487"/>
      <c r="L117" s="728"/>
      <c r="M117" s="692"/>
      <c r="N117" s="707"/>
      <c r="O117" s="17" t="s">
        <v>4</v>
      </c>
      <c r="P117" s="679"/>
      <c r="Q117" s="679"/>
      <c r="R117" s="683"/>
      <c r="S117" s="685"/>
      <c r="T117" s="663"/>
      <c r="U117" s="663"/>
      <c r="V117" s="612"/>
    </row>
    <row r="118" spans="1:22" x14ac:dyDescent="0.25">
      <c r="A118" s="478">
        <v>5</v>
      </c>
      <c r="B118" s="480" t="s">
        <v>32</v>
      </c>
      <c r="C118" s="482" t="s">
        <v>35</v>
      </c>
      <c r="D118" s="404" t="s">
        <v>36</v>
      </c>
      <c r="E118" s="484" t="s">
        <v>19</v>
      </c>
      <c r="F118" s="486">
        <v>2.5</v>
      </c>
      <c r="G118" s="486">
        <v>7.86</v>
      </c>
      <c r="H118" s="486" t="s">
        <v>37</v>
      </c>
      <c r="I118" s="486" t="s">
        <v>14</v>
      </c>
      <c r="J118" s="694">
        <v>45117</v>
      </c>
      <c r="K118" s="486" t="s">
        <v>39</v>
      </c>
      <c r="L118" s="689">
        <v>17.3657</v>
      </c>
      <c r="M118" s="691" t="s">
        <v>2</v>
      </c>
      <c r="N118" s="706" t="s">
        <v>4</v>
      </c>
      <c r="O118" s="17" t="s">
        <v>4</v>
      </c>
      <c r="P118" s="678">
        <v>17.369</v>
      </c>
      <c r="Q118" s="678">
        <v>17.356000000000002</v>
      </c>
      <c r="R118" s="704">
        <v>45835</v>
      </c>
      <c r="S118" s="705">
        <f t="shared" ref="S118" si="16">R118-J118</f>
        <v>718</v>
      </c>
      <c r="T118" s="676">
        <f>L118-Q118</f>
        <v>9.6999999999987097E-3</v>
      </c>
      <c r="U118" s="676">
        <f t="shared" ref="U118" si="17">T118</f>
        <v>9.6999999999987097E-3</v>
      </c>
      <c r="V118" s="612">
        <f t="shared" si="10"/>
        <v>1.5311049210768621E-2</v>
      </c>
    </row>
    <row r="119" spans="1:22" x14ac:dyDescent="0.25">
      <c r="A119" s="479"/>
      <c r="B119" s="481"/>
      <c r="C119" s="729"/>
      <c r="D119" s="404"/>
      <c r="E119" s="485"/>
      <c r="F119" s="487"/>
      <c r="G119" s="487"/>
      <c r="H119" s="487"/>
      <c r="I119" s="487"/>
      <c r="J119" s="695"/>
      <c r="K119" s="487"/>
      <c r="L119" s="728"/>
      <c r="M119" s="692"/>
      <c r="N119" s="707"/>
      <c r="O119" s="17" t="s">
        <v>4</v>
      </c>
      <c r="P119" s="679"/>
      <c r="Q119" s="679"/>
      <c r="R119" s="683"/>
      <c r="S119" s="685"/>
      <c r="T119" s="663"/>
      <c r="U119" s="663"/>
      <c r="V119" s="612"/>
    </row>
    <row r="120" spans="1:22" x14ac:dyDescent="0.25">
      <c r="A120" s="478">
        <v>6</v>
      </c>
      <c r="B120" s="480" t="s">
        <v>33</v>
      </c>
      <c r="C120" s="482" t="s">
        <v>35</v>
      </c>
      <c r="D120" s="404" t="s">
        <v>36</v>
      </c>
      <c r="E120" s="484" t="s">
        <v>19</v>
      </c>
      <c r="F120" s="486">
        <v>2.5</v>
      </c>
      <c r="G120" s="486">
        <v>7.86</v>
      </c>
      <c r="H120" s="486" t="s">
        <v>37</v>
      </c>
      <c r="I120" s="486" t="s">
        <v>14</v>
      </c>
      <c r="J120" s="694">
        <v>45117</v>
      </c>
      <c r="K120" s="486" t="s">
        <v>40</v>
      </c>
      <c r="L120" s="689">
        <v>17.373699999999999</v>
      </c>
      <c r="M120" s="691" t="s">
        <v>2</v>
      </c>
      <c r="N120" s="706" t="s">
        <v>4</v>
      </c>
      <c r="O120" s="17" t="s">
        <v>4</v>
      </c>
      <c r="P120" s="678">
        <v>17.382999999999999</v>
      </c>
      <c r="Q120" s="678">
        <v>17.369</v>
      </c>
      <c r="R120" s="704">
        <v>45835</v>
      </c>
      <c r="S120" s="705">
        <f t="shared" ref="S120" si="18">R120-J120</f>
        <v>718</v>
      </c>
      <c r="T120" s="676">
        <f>L120-Q120</f>
        <v>4.6999999999997044E-3</v>
      </c>
      <c r="U120" s="676">
        <f t="shared" ref="U120" si="19">T120</f>
        <v>4.6999999999997044E-3</v>
      </c>
      <c r="V120" s="612">
        <f t="shared" si="10"/>
        <v>7.4187558031564502E-3</v>
      </c>
    </row>
    <row r="121" spans="1:22" x14ac:dyDescent="0.25">
      <c r="A121" s="479"/>
      <c r="B121" s="481"/>
      <c r="C121" s="729"/>
      <c r="D121" s="404"/>
      <c r="E121" s="485"/>
      <c r="F121" s="487"/>
      <c r="G121" s="487"/>
      <c r="H121" s="487"/>
      <c r="I121" s="487"/>
      <c r="J121" s="695"/>
      <c r="K121" s="487"/>
      <c r="L121" s="728"/>
      <c r="M121" s="692"/>
      <c r="N121" s="707"/>
      <c r="O121" s="17" t="s">
        <v>4</v>
      </c>
      <c r="P121" s="679"/>
      <c r="Q121" s="679"/>
      <c r="R121" s="683"/>
      <c r="S121" s="685"/>
      <c r="T121" s="663"/>
      <c r="U121" s="663"/>
      <c r="V121" s="612"/>
    </row>
    <row r="122" spans="1:22" x14ac:dyDescent="0.25">
      <c r="A122" s="478">
        <v>7</v>
      </c>
      <c r="B122" s="480" t="s">
        <v>34</v>
      </c>
      <c r="C122" s="482" t="s">
        <v>35</v>
      </c>
      <c r="D122" s="404" t="s">
        <v>36</v>
      </c>
      <c r="E122" s="484" t="s">
        <v>19</v>
      </c>
      <c r="F122" s="486">
        <v>2.5</v>
      </c>
      <c r="G122" s="486">
        <v>7.86</v>
      </c>
      <c r="H122" s="486" t="s">
        <v>37</v>
      </c>
      <c r="I122" s="486" t="s">
        <v>14</v>
      </c>
      <c r="J122" s="694">
        <v>45117</v>
      </c>
      <c r="K122" s="486" t="s">
        <v>41</v>
      </c>
      <c r="L122" s="689">
        <v>17.374500000000001</v>
      </c>
      <c r="M122" s="691" t="s">
        <v>2</v>
      </c>
      <c r="N122" s="706" t="s">
        <v>4</v>
      </c>
      <c r="O122" s="17" t="s">
        <v>4</v>
      </c>
      <c r="P122" s="678">
        <v>17.391999999999999</v>
      </c>
      <c r="Q122" s="678">
        <v>17.359000000000002</v>
      </c>
      <c r="R122" s="704">
        <v>45835</v>
      </c>
      <c r="S122" s="705">
        <f t="shared" ref="S122" si="20">R122-J122</f>
        <v>718</v>
      </c>
      <c r="T122" s="676">
        <f>L122-Q122</f>
        <v>1.5499999999999403E-2</v>
      </c>
      <c r="U122" s="662">
        <f t="shared" si="9"/>
        <v>5.4999999999994029E-3</v>
      </c>
      <c r="V122" s="612">
        <f t="shared" si="10"/>
        <v>8.6815227483741722E-3</v>
      </c>
    </row>
    <row r="123" spans="1:22" ht="14.4" thickBot="1" x14ac:dyDescent="0.3">
      <c r="A123" s="492"/>
      <c r="B123" s="493"/>
      <c r="C123" s="693"/>
      <c r="D123" s="385"/>
      <c r="E123" s="525"/>
      <c r="F123" s="517"/>
      <c r="G123" s="517"/>
      <c r="H123" s="517"/>
      <c r="I123" s="517"/>
      <c r="J123" s="703"/>
      <c r="K123" s="517"/>
      <c r="L123" s="690"/>
      <c r="M123" s="708"/>
      <c r="N123" s="709"/>
      <c r="O123" s="42" t="s">
        <v>4</v>
      </c>
      <c r="P123" s="681"/>
      <c r="Q123" s="681"/>
      <c r="R123" s="682"/>
      <c r="S123" s="684"/>
      <c r="T123" s="663"/>
      <c r="U123" s="676"/>
      <c r="V123" s="613"/>
    </row>
    <row r="124" spans="1:22" ht="13.8" customHeight="1" thickBot="1" x14ac:dyDescent="0.3">
      <c r="A124" s="664" t="s">
        <v>43</v>
      </c>
      <c r="B124" s="665"/>
      <c r="C124" s="665"/>
      <c r="D124" s="665"/>
      <c r="E124" s="665"/>
      <c r="F124" s="665"/>
      <c r="G124" s="665"/>
      <c r="H124" s="665"/>
      <c r="I124" s="665"/>
      <c r="J124" s="665"/>
      <c r="K124" s="665"/>
      <c r="L124" s="665"/>
      <c r="M124" s="665"/>
      <c r="N124" s="665"/>
      <c r="O124" s="665"/>
      <c r="P124" s="665"/>
      <c r="Q124" s="665"/>
      <c r="R124" s="665"/>
      <c r="S124" s="665"/>
      <c r="T124" s="665"/>
      <c r="U124" s="665"/>
      <c r="V124" s="666"/>
    </row>
    <row r="125" spans="1:22" ht="13.2" customHeight="1" x14ac:dyDescent="0.25">
      <c r="A125" s="492">
        <v>8</v>
      </c>
      <c r="B125" s="493" t="s">
        <v>44</v>
      </c>
      <c r="C125" s="529" t="s">
        <v>45</v>
      </c>
      <c r="D125" s="531" t="s">
        <v>46</v>
      </c>
      <c r="E125" s="533" t="s">
        <v>19</v>
      </c>
      <c r="F125" s="53">
        <v>3.4</v>
      </c>
      <c r="G125" s="53">
        <v>7.86</v>
      </c>
      <c r="H125" s="517" t="s">
        <v>47</v>
      </c>
      <c r="I125" s="517" t="s">
        <v>48</v>
      </c>
      <c r="J125" s="54">
        <v>45118</v>
      </c>
      <c r="K125" s="50" t="s">
        <v>52</v>
      </c>
      <c r="L125" s="52">
        <v>24.958400000000001</v>
      </c>
      <c r="M125" s="87" t="s">
        <v>2</v>
      </c>
      <c r="N125" s="87" t="s">
        <v>4</v>
      </c>
      <c r="O125" s="67" t="s">
        <v>4</v>
      </c>
      <c r="P125" s="77">
        <v>25.808</v>
      </c>
      <c r="Q125" s="77">
        <v>24.75</v>
      </c>
      <c r="R125" s="78"/>
      <c r="S125" s="104">
        <f t="shared" si="8"/>
        <v>-45118</v>
      </c>
      <c r="T125" s="109">
        <f t="shared" ref="T125:T142" si="21">L125-Q125</f>
        <v>0.20840000000000103</v>
      </c>
      <c r="U125" s="109">
        <f t="shared" si="9"/>
        <v>0.19840000000000102</v>
      </c>
      <c r="V125" s="9">
        <f t="shared" si="10"/>
        <v>-3.6644650324334899E-3</v>
      </c>
    </row>
    <row r="126" spans="1:22" x14ac:dyDescent="0.25">
      <c r="A126" s="492"/>
      <c r="B126" s="493"/>
      <c r="C126" s="529"/>
      <c r="D126" s="531"/>
      <c r="E126" s="533"/>
      <c r="F126" s="53">
        <v>3.4</v>
      </c>
      <c r="G126" s="53">
        <v>7.86</v>
      </c>
      <c r="H126" s="517"/>
      <c r="I126" s="487"/>
      <c r="J126" s="84">
        <v>45118</v>
      </c>
      <c r="K126" s="46" t="s">
        <v>53</v>
      </c>
      <c r="L126" s="47">
        <v>24.907399999999999</v>
      </c>
      <c r="M126" s="42" t="s">
        <v>2</v>
      </c>
      <c r="N126" s="42" t="s">
        <v>4</v>
      </c>
      <c r="O126" s="17" t="s">
        <v>4</v>
      </c>
      <c r="P126" s="70">
        <v>25.326000000000001</v>
      </c>
      <c r="Q126" s="70">
        <v>24.361999999999998</v>
      </c>
      <c r="R126" s="71"/>
      <c r="S126" s="72">
        <f t="shared" si="8"/>
        <v>-45118</v>
      </c>
      <c r="T126" s="109">
        <f t="shared" si="21"/>
        <v>0.54540000000000077</v>
      </c>
      <c r="U126" s="107">
        <f t="shared" si="9"/>
        <v>0.53540000000000076</v>
      </c>
      <c r="V126" s="22">
        <f t="shared" si="10"/>
        <v>-9.8888839635326766E-3</v>
      </c>
    </row>
    <row r="127" spans="1:22" ht="13.2" customHeight="1" x14ac:dyDescent="0.25">
      <c r="A127" s="492"/>
      <c r="B127" s="493"/>
      <c r="C127" s="529"/>
      <c r="D127" s="531"/>
      <c r="E127" s="533"/>
      <c r="F127" s="53">
        <v>3.4</v>
      </c>
      <c r="G127" s="53">
        <v>7.86</v>
      </c>
      <c r="H127" s="517"/>
      <c r="I127" s="486" t="s">
        <v>49</v>
      </c>
      <c r="J127" s="84">
        <v>45118</v>
      </c>
      <c r="K127" s="46" t="s">
        <v>54</v>
      </c>
      <c r="L127" s="47">
        <v>24.595199999999998</v>
      </c>
      <c r="M127" s="42" t="s">
        <v>2</v>
      </c>
      <c r="N127" s="42" t="s">
        <v>4</v>
      </c>
      <c r="O127" s="17" t="s">
        <v>4</v>
      </c>
      <c r="P127" s="70">
        <v>24.045000000000002</v>
      </c>
      <c r="Q127" s="70">
        <v>23.288</v>
      </c>
      <c r="R127" s="71"/>
      <c r="S127" s="72">
        <f t="shared" si="8"/>
        <v>-45118</v>
      </c>
      <c r="T127" s="109">
        <f t="shared" si="21"/>
        <v>1.3071999999999981</v>
      </c>
      <c r="U127" s="107">
        <f t="shared" si="9"/>
        <v>1.2971999999999981</v>
      </c>
      <c r="V127" s="22">
        <f t="shared" si="10"/>
        <v>-2.3959395363269614E-2</v>
      </c>
    </row>
    <row r="128" spans="1:22" x14ac:dyDescent="0.25">
      <c r="A128" s="492"/>
      <c r="B128" s="493"/>
      <c r="C128" s="529"/>
      <c r="D128" s="531"/>
      <c r="E128" s="533"/>
      <c r="F128" s="53">
        <v>3.4</v>
      </c>
      <c r="G128" s="53">
        <v>7.86</v>
      </c>
      <c r="H128" s="517"/>
      <c r="I128" s="487"/>
      <c r="J128" s="84">
        <v>45118</v>
      </c>
      <c r="K128" s="46" t="s">
        <v>55</v>
      </c>
      <c r="L128" s="47">
        <v>24.663699999999999</v>
      </c>
      <c r="M128" s="42" t="s">
        <v>2</v>
      </c>
      <c r="N128" s="42" t="s">
        <v>4</v>
      </c>
      <c r="O128" s="17" t="s">
        <v>4</v>
      </c>
      <c r="P128" s="70">
        <v>24.492000000000001</v>
      </c>
      <c r="Q128" s="70">
        <v>24.256</v>
      </c>
      <c r="R128" s="71"/>
      <c r="S128" s="72">
        <f t="shared" si="8"/>
        <v>-45118</v>
      </c>
      <c r="T128" s="109">
        <f t="shared" si="21"/>
        <v>0.4076999999999984</v>
      </c>
      <c r="U128" s="107">
        <f t="shared" si="9"/>
        <v>0.39769999999999839</v>
      </c>
      <c r="V128" s="22">
        <f t="shared" si="10"/>
        <v>-7.3455531421309748E-3</v>
      </c>
    </row>
    <row r="129" spans="1:22" ht="13.2" customHeight="1" x14ac:dyDescent="0.25">
      <c r="A129" s="492"/>
      <c r="B129" s="493"/>
      <c r="C129" s="529"/>
      <c r="D129" s="531"/>
      <c r="E129" s="533"/>
      <c r="F129" s="53">
        <v>3.4</v>
      </c>
      <c r="G129" s="53">
        <v>7.86</v>
      </c>
      <c r="H129" s="517"/>
      <c r="I129" s="486" t="s">
        <v>50</v>
      </c>
      <c r="J129" s="84">
        <v>45118</v>
      </c>
      <c r="K129" s="46" t="s">
        <v>56</v>
      </c>
      <c r="L129" s="47">
        <v>24.734999999999999</v>
      </c>
      <c r="M129" s="42" t="s">
        <v>2</v>
      </c>
      <c r="N129" s="42" t="s">
        <v>4</v>
      </c>
      <c r="O129" s="17" t="s">
        <v>4</v>
      </c>
      <c r="P129" s="70">
        <v>25.266999999999999</v>
      </c>
      <c r="Q129" s="70">
        <v>24.513000000000002</v>
      </c>
      <c r="R129" s="71"/>
      <c r="S129" s="72">
        <f t="shared" si="8"/>
        <v>-45118</v>
      </c>
      <c r="T129" s="109">
        <f t="shared" si="21"/>
        <v>0.22199999999999775</v>
      </c>
      <c r="U129" s="107">
        <f t="shared" si="9"/>
        <v>0.21199999999999775</v>
      </c>
      <c r="V129" s="22">
        <f t="shared" si="10"/>
        <v>-3.9156581999792717E-3</v>
      </c>
    </row>
    <row r="130" spans="1:22" x14ac:dyDescent="0.25">
      <c r="A130" s="479"/>
      <c r="B130" s="481"/>
      <c r="C130" s="530"/>
      <c r="D130" s="386"/>
      <c r="E130" s="534"/>
      <c r="F130" s="53">
        <v>3.4</v>
      </c>
      <c r="G130" s="53">
        <v>7.86</v>
      </c>
      <c r="H130" s="487"/>
      <c r="I130" s="487"/>
      <c r="J130" s="84">
        <v>45118</v>
      </c>
      <c r="K130" s="46" t="s">
        <v>51</v>
      </c>
      <c r="L130" s="47">
        <v>25.08</v>
      </c>
      <c r="M130" s="42" t="s">
        <v>2</v>
      </c>
      <c r="N130" s="42" t="s">
        <v>4</v>
      </c>
      <c r="O130" s="17" t="s">
        <v>4</v>
      </c>
      <c r="P130" s="70">
        <v>24.829000000000001</v>
      </c>
      <c r="Q130" s="70">
        <v>24.33</v>
      </c>
      <c r="R130" s="71"/>
      <c r="S130" s="72">
        <f t="shared" si="8"/>
        <v>-45118</v>
      </c>
      <c r="T130" s="109">
        <f t="shared" si="21"/>
        <v>0.75</v>
      </c>
      <c r="U130" s="107">
        <f t="shared" si="9"/>
        <v>0.74</v>
      </c>
      <c r="V130" s="22">
        <f t="shared" si="10"/>
        <v>-1.3667863528229678E-2</v>
      </c>
    </row>
    <row r="131" spans="1:22" x14ac:dyDescent="0.25">
      <c r="A131" s="526">
        <v>9</v>
      </c>
      <c r="B131" s="527" t="s">
        <v>57</v>
      </c>
      <c r="C131" s="528" t="s">
        <v>45</v>
      </c>
      <c r="D131" s="385" t="s">
        <v>46</v>
      </c>
      <c r="E131" s="532" t="s">
        <v>19</v>
      </c>
      <c r="F131" s="53">
        <v>3.4</v>
      </c>
      <c r="G131" s="53">
        <v>7.86</v>
      </c>
      <c r="H131" s="535" t="s">
        <v>47</v>
      </c>
      <c r="I131" s="486" t="s">
        <v>48</v>
      </c>
      <c r="J131" s="84">
        <v>45118</v>
      </c>
      <c r="K131" s="46" t="s">
        <v>58</v>
      </c>
      <c r="L131" s="47">
        <v>24.835599999999999</v>
      </c>
      <c r="M131" s="42" t="s">
        <v>2</v>
      </c>
      <c r="N131" s="42" t="s">
        <v>4</v>
      </c>
      <c r="O131" s="17" t="s">
        <v>4</v>
      </c>
      <c r="P131" s="70">
        <v>25.209</v>
      </c>
      <c r="Q131" s="70">
        <v>24.620999999999999</v>
      </c>
      <c r="R131" s="71"/>
      <c r="S131" s="72">
        <f t="shared" si="8"/>
        <v>-45118</v>
      </c>
      <c r="T131" s="109">
        <f t="shared" si="21"/>
        <v>0.21460000000000079</v>
      </c>
      <c r="U131" s="107">
        <f t="shared" si="9"/>
        <v>0.20460000000000078</v>
      </c>
      <c r="V131" s="22">
        <f t="shared" si="10"/>
        <v>-3.7789795646970309E-3</v>
      </c>
    </row>
    <row r="132" spans="1:22" x14ac:dyDescent="0.25">
      <c r="A132" s="492"/>
      <c r="B132" s="493"/>
      <c r="C132" s="529"/>
      <c r="D132" s="531"/>
      <c r="E132" s="533"/>
      <c r="F132" s="53">
        <v>3.4</v>
      </c>
      <c r="G132" s="53">
        <v>7.86</v>
      </c>
      <c r="H132" s="517"/>
      <c r="I132" s="487"/>
      <c r="J132" s="84">
        <v>45118</v>
      </c>
      <c r="K132" s="46" t="s">
        <v>59</v>
      </c>
      <c r="L132" s="47">
        <v>24.798500000000001</v>
      </c>
      <c r="M132" s="42" t="s">
        <v>2</v>
      </c>
      <c r="N132" s="42" t="s">
        <v>4</v>
      </c>
      <c r="O132" s="17" t="s">
        <v>4</v>
      </c>
      <c r="P132" s="70">
        <v>25.123999999999999</v>
      </c>
      <c r="Q132" s="70">
        <v>24.571000000000002</v>
      </c>
      <c r="R132" s="71"/>
      <c r="S132" s="72">
        <f t="shared" si="8"/>
        <v>-45118</v>
      </c>
      <c r="T132" s="109">
        <f t="shared" si="21"/>
        <v>0.22749999999999915</v>
      </c>
      <c r="U132" s="107">
        <f t="shared" si="9"/>
        <v>0.21749999999999914</v>
      </c>
      <c r="V132" s="22">
        <f t="shared" si="10"/>
        <v>-4.0172436721485722E-3</v>
      </c>
    </row>
    <row r="133" spans="1:22" x14ac:dyDescent="0.25">
      <c r="A133" s="492"/>
      <c r="B133" s="493"/>
      <c r="C133" s="529"/>
      <c r="D133" s="531"/>
      <c r="E133" s="533"/>
      <c r="F133" s="53">
        <v>3.4</v>
      </c>
      <c r="G133" s="53">
        <v>7.86</v>
      </c>
      <c r="H133" s="517"/>
      <c r="I133" s="486" t="s">
        <v>49</v>
      </c>
      <c r="J133" s="84">
        <v>45118</v>
      </c>
      <c r="K133" s="46" t="s">
        <v>60</v>
      </c>
      <c r="L133" s="47">
        <v>24.474399999999999</v>
      </c>
      <c r="M133" s="42" t="s">
        <v>2</v>
      </c>
      <c r="N133" s="42" t="s">
        <v>4</v>
      </c>
      <c r="O133" s="17" t="s">
        <v>4</v>
      </c>
      <c r="P133" s="70">
        <v>24.594000000000001</v>
      </c>
      <c r="Q133" s="70">
        <v>24.282</v>
      </c>
      <c r="R133" s="71"/>
      <c r="S133" s="72">
        <f t="shared" si="8"/>
        <v>-45118</v>
      </c>
      <c r="T133" s="109">
        <f t="shared" si="21"/>
        <v>0.19239999999999924</v>
      </c>
      <c r="U133" s="107">
        <f t="shared" si="9"/>
        <v>0.18239999999999923</v>
      </c>
      <c r="V133" s="22">
        <f t="shared" si="10"/>
        <v>-3.3689436588501122E-3</v>
      </c>
    </row>
    <row r="134" spans="1:22" x14ac:dyDescent="0.25">
      <c r="A134" s="492"/>
      <c r="B134" s="493"/>
      <c r="C134" s="529"/>
      <c r="D134" s="531"/>
      <c r="E134" s="533"/>
      <c r="F134" s="53">
        <v>3.4</v>
      </c>
      <c r="G134" s="53">
        <v>7.86</v>
      </c>
      <c r="H134" s="517"/>
      <c r="I134" s="487"/>
      <c r="J134" s="84">
        <v>45118</v>
      </c>
      <c r="K134" s="46" t="s">
        <v>61</v>
      </c>
      <c r="L134" s="47">
        <v>24.650700000000001</v>
      </c>
      <c r="M134" s="42" t="s">
        <v>2</v>
      </c>
      <c r="N134" s="42" t="s">
        <v>4</v>
      </c>
      <c r="O134" s="17" t="s">
        <v>4</v>
      </c>
      <c r="P134" s="70">
        <v>24.704999999999998</v>
      </c>
      <c r="Q134" s="70">
        <v>24.451000000000001</v>
      </c>
      <c r="R134" s="71"/>
      <c r="S134" s="72">
        <f t="shared" si="8"/>
        <v>-45118</v>
      </c>
      <c r="T134" s="109">
        <f t="shared" si="21"/>
        <v>0.19969999999999999</v>
      </c>
      <c r="U134" s="107">
        <f t="shared" si="9"/>
        <v>0.18969999999999998</v>
      </c>
      <c r="V134" s="22">
        <f t="shared" si="10"/>
        <v>-3.5037752855475268E-3</v>
      </c>
    </row>
    <row r="135" spans="1:22" x14ac:dyDescent="0.25">
      <c r="A135" s="492"/>
      <c r="B135" s="493"/>
      <c r="C135" s="529"/>
      <c r="D135" s="531"/>
      <c r="E135" s="533"/>
      <c r="F135" s="53">
        <v>3.4</v>
      </c>
      <c r="G135" s="53">
        <v>7.86</v>
      </c>
      <c r="H135" s="517"/>
      <c r="I135" s="486" t="s">
        <v>50</v>
      </c>
      <c r="J135" s="84">
        <v>45118</v>
      </c>
      <c r="K135" s="46" t="s">
        <v>62</v>
      </c>
      <c r="L135" s="47">
        <v>24.449300000000001</v>
      </c>
      <c r="M135" s="42" t="s">
        <v>2</v>
      </c>
      <c r="N135" s="42" t="s">
        <v>4</v>
      </c>
      <c r="O135" s="17" t="s">
        <v>4</v>
      </c>
      <c r="P135" s="70">
        <v>24.536000000000001</v>
      </c>
      <c r="Q135" s="70">
        <v>24.277999999999999</v>
      </c>
      <c r="R135" s="71"/>
      <c r="S135" s="72">
        <f t="shared" si="8"/>
        <v>-45118</v>
      </c>
      <c r="T135" s="109">
        <f t="shared" si="21"/>
        <v>0.17130000000000223</v>
      </c>
      <c r="U135" s="107">
        <f t="shared" si="9"/>
        <v>0.16130000000000222</v>
      </c>
      <c r="V135" s="22">
        <f t="shared" si="10"/>
        <v>-2.9792248474371317E-3</v>
      </c>
    </row>
    <row r="136" spans="1:22" x14ac:dyDescent="0.25">
      <c r="A136" s="479"/>
      <c r="B136" s="481"/>
      <c r="C136" s="530"/>
      <c r="D136" s="386"/>
      <c r="E136" s="534"/>
      <c r="F136" s="53">
        <v>3.4</v>
      </c>
      <c r="G136" s="53">
        <v>7.86</v>
      </c>
      <c r="H136" s="487"/>
      <c r="I136" s="487"/>
      <c r="J136" s="84">
        <v>45118</v>
      </c>
      <c r="K136" s="46" t="s">
        <v>63</v>
      </c>
      <c r="L136" s="47">
        <v>24.8843</v>
      </c>
      <c r="M136" s="42" t="s">
        <v>2</v>
      </c>
      <c r="N136" s="42" t="s">
        <v>4</v>
      </c>
      <c r="O136" s="17" t="s">
        <v>4</v>
      </c>
      <c r="P136" s="70">
        <v>24.826000000000001</v>
      </c>
      <c r="Q136" s="70">
        <v>24.658000000000001</v>
      </c>
      <c r="R136" s="71"/>
      <c r="S136" s="72">
        <f t="shared" si="8"/>
        <v>-45118</v>
      </c>
      <c r="T136" s="109">
        <f t="shared" si="21"/>
        <v>0.22629999999999839</v>
      </c>
      <c r="U136" s="107">
        <f t="shared" si="9"/>
        <v>0.21629999999999838</v>
      </c>
      <c r="V136" s="22">
        <f t="shared" si="10"/>
        <v>-3.995079569129807E-3</v>
      </c>
    </row>
    <row r="137" spans="1:22" x14ac:dyDescent="0.25">
      <c r="A137" s="526">
        <v>10</v>
      </c>
      <c r="B137" s="527" t="s">
        <v>64</v>
      </c>
      <c r="C137" s="528" t="s">
        <v>45</v>
      </c>
      <c r="D137" s="385" t="s">
        <v>46</v>
      </c>
      <c r="E137" s="532" t="s">
        <v>19</v>
      </c>
      <c r="F137" s="53">
        <v>3.4</v>
      </c>
      <c r="G137" s="53">
        <v>7.86</v>
      </c>
      <c r="H137" s="535" t="s">
        <v>47</v>
      </c>
      <c r="I137" s="486" t="s">
        <v>48</v>
      </c>
      <c r="J137" s="84">
        <v>45119</v>
      </c>
      <c r="K137" s="46" t="s">
        <v>65</v>
      </c>
      <c r="L137" s="47">
        <v>24.722300000000001</v>
      </c>
      <c r="M137" s="42" t="s">
        <v>2</v>
      </c>
      <c r="N137" s="42" t="s">
        <v>4</v>
      </c>
      <c r="O137" s="17" t="s">
        <v>4</v>
      </c>
      <c r="P137" s="70">
        <v>24.68</v>
      </c>
      <c r="Q137" s="70">
        <v>24.402999999999999</v>
      </c>
      <c r="R137" s="71"/>
      <c r="S137" s="72">
        <f>R137-J137</f>
        <v>-45119</v>
      </c>
      <c r="T137" s="109">
        <f t="shared" si="21"/>
        <v>0.31930000000000192</v>
      </c>
      <c r="U137" s="107">
        <f t="shared" si="9"/>
        <v>0.30930000000000191</v>
      </c>
      <c r="V137" s="22">
        <f t="shared" si="10"/>
        <v>-5.7126709368559058E-3</v>
      </c>
    </row>
    <row r="138" spans="1:22" x14ac:dyDescent="0.25">
      <c r="A138" s="492"/>
      <c r="B138" s="493"/>
      <c r="C138" s="529"/>
      <c r="D138" s="531"/>
      <c r="E138" s="533"/>
      <c r="F138" s="53">
        <v>3.4</v>
      </c>
      <c r="G138" s="53">
        <v>7.86</v>
      </c>
      <c r="H138" s="517"/>
      <c r="I138" s="487"/>
      <c r="J138" s="84">
        <v>45119</v>
      </c>
      <c r="K138" s="46" t="s">
        <v>66</v>
      </c>
      <c r="L138" s="47">
        <v>24.520900000000001</v>
      </c>
      <c r="M138" s="42" t="s">
        <v>2</v>
      </c>
      <c r="N138" s="42" t="s">
        <v>4</v>
      </c>
      <c r="O138" s="17" t="s">
        <v>4</v>
      </c>
      <c r="P138" s="70">
        <v>24.465</v>
      </c>
      <c r="Q138" s="70">
        <v>24.221</v>
      </c>
      <c r="R138" s="71"/>
      <c r="S138" s="72">
        <f>R138-J138</f>
        <v>-45119</v>
      </c>
      <c r="T138" s="109">
        <f t="shared" si="21"/>
        <v>0.29990000000000094</v>
      </c>
      <c r="U138" s="107">
        <f t="shared" ref="U138:U171" si="22">T138-0.01</f>
        <v>0.28990000000000093</v>
      </c>
      <c r="V138" s="22">
        <f t="shared" ref="V138:V169" si="23">(U138*22270)/(S138*G138*F138)</f>
        <v>-5.354359213044042E-3</v>
      </c>
    </row>
    <row r="139" spans="1:22" x14ac:dyDescent="0.25">
      <c r="A139" s="492"/>
      <c r="B139" s="493"/>
      <c r="C139" s="529"/>
      <c r="D139" s="531"/>
      <c r="E139" s="533"/>
      <c r="F139" s="53">
        <v>3.4</v>
      </c>
      <c r="G139" s="53">
        <v>7.86</v>
      </c>
      <c r="H139" s="517"/>
      <c r="I139" s="486" t="s">
        <v>49</v>
      </c>
      <c r="J139" s="84">
        <v>45119</v>
      </c>
      <c r="K139" s="46" t="s">
        <v>67</v>
      </c>
      <c r="L139" s="47">
        <v>24.476900000000001</v>
      </c>
      <c r="M139" s="42" t="s">
        <v>2</v>
      </c>
      <c r="N139" s="42" t="s">
        <v>4</v>
      </c>
      <c r="O139" s="17" t="s">
        <v>4</v>
      </c>
      <c r="P139" s="70">
        <v>24.484000000000002</v>
      </c>
      <c r="Q139" s="70">
        <v>24.096</v>
      </c>
      <c r="R139" s="71"/>
      <c r="S139" s="72">
        <f t="shared" ref="S139:S169" si="24">R139-J139</f>
        <v>-45119</v>
      </c>
      <c r="T139" s="109">
        <f t="shared" si="21"/>
        <v>0.38090000000000046</v>
      </c>
      <c r="U139" s="107">
        <f t="shared" si="22"/>
        <v>0.37090000000000045</v>
      </c>
      <c r="V139" s="22">
        <f t="shared" si="23"/>
        <v>-6.8504030083409145E-3</v>
      </c>
    </row>
    <row r="140" spans="1:22" x14ac:dyDescent="0.25">
      <c r="A140" s="492"/>
      <c r="B140" s="493"/>
      <c r="C140" s="529"/>
      <c r="D140" s="531"/>
      <c r="E140" s="533"/>
      <c r="F140" s="53">
        <v>3.4</v>
      </c>
      <c r="G140" s="53">
        <v>7.86</v>
      </c>
      <c r="H140" s="517"/>
      <c r="I140" s="487"/>
      <c r="J140" s="84">
        <v>45119</v>
      </c>
      <c r="K140" s="46" t="s">
        <v>68</v>
      </c>
      <c r="L140" s="47">
        <v>25.159400000000002</v>
      </c>
      <c r="M140" s="42" t="s">
        <v>2</v>
      </c>
      <c r="N140" s="42" t="s">
        <v>4</v>
      </c>
      <c r="O140" s="17" t="s">
        <v>4</v>
      </c>
      <c r="P140" s="70">
        <v>25.18</v>
      </c>
      <c r="Q140" s="70">
        <v>24.789000000000001</v>
      </c>
      <c r="R140" s="71"/>
      <c r="S140" s="72">
        <f t="shared" si="24"/>
        <v>-45119</v>
      </c>
      <c r="T140" s="109">
        <f t="shared" si="21"/>
        <v>0.37040000000000006</v>
      </c>
      <c r="U140" s="107">
        <f t="shared" si="22"/>
        <v>0.36040000000000005</v>
      </c>
      <c r="V140" s="22">
        <f t="shared" si="23"/>
        <v>-6.6564714052468671E-3</v>
      </c>
    </row>
    <row r="141" spans="1:22" x14ac:dyDescent="0.25">
      <c r="A141" s="492"/>
      <c r="B141" s="493"/>
      <c r="C141" s="529"/>
      <c r="D141" s="531"/>
      <c r="E141" s="533"/>
      <c r="F141" s="53">
        <v>3.4</v>
      </c>
      <c r="G141" s="53">
        <v>7.86</v>
      </c>
      <c r="H141" s="517"/>
      <c r="I141" s="486" t="s">
        <v>50</v>
      </c>
      <c r="J141" s="84">
        <v>45119</v>
      </c>
      <c r="K141" s="46" t="s">
        <v>69</v>
      </c>
      <c r="L141" s="47">
        <v>24.468800000000002</v>
      </c>
      <c r="M141" s="42" t="s">
        <v>2</v>
      </c>
      <c r="N141" s="42" t="s">
        <v>4</v>
      </c>
      <c r="O141" s="17" t="s">
        <v>4</v>
      </c>
      <c r="P141" s="70">
        <v>24.175000000000001</v>
      </c>
      <c r="Q141" s="70">
        <v>23.902000000000001</v>
      </c>
      <c r="R141" s="71"/>
      <c r="S141" s="72">
        <f t="shared" si="24"/>
        <v>-45119</v>
      </c>
      <c r="T141" s="109">
        <f t="shared" si="21"/>
        <v>0.56680000000000064</v>
      </c>
      <c r="U141" s="107">
        <f t="shared" si="22"/>
        <v>0.55680000000000063</v>
      </c>
      <c r="V141" s="22">
        <f t="shared" si="23"/>
        <v>-1.0283915866929687E-2</v>
      </c>
    </row>
    <row r="142" spans="1:22" x14ac:dyDescent="0.25">
      <c r="A142" s="479"/>
      <c r="B142" s="481"/>
      <c r="C142" s="530"/>
      <c r="D142" s="386"/>
      <c r="E142" s="534"/>
      <c r="F142" s="53">
        <v>3.4</v>
      </c>
      <c r="G142" s="53">
        <v>7.86</v>
      </c>
      <c r="H142" s="487"/>
      <c r="I142" s="487"/>
      <c r="J142" s="84">
        <v>45119</v>
      </c>
      <c r="K142" s="46" t="s">
        <v>70</v>
      </c>
      <c r="L142" s="47">
        <v>24.843800000000002</v>
      </c>
      <c r="M142" s="42" t="s">
        <v>2</v>
      </c>
      <c r="N142" s="42" t="s">
        <v>4</v>
      </c>
      <c r="O142" s="17" t="s">
        <v>4</v>
      </c>
      <c r="P142" s="70">
        <v>24.486000000000001</v>
      </c>
      <c r="Q142" s="70">
        <v>24.209</v>
      </c>
      <c r="R142" s="71"/>
      <c r="S142" s="72">
        <f t="shared" si="24"/>
        <v>-45119</v>
      </c>
      <c r="T142" s="109">
        <f t="shared" si="21"/>
        <v>0.63480000000000203</v>
      </c>
      <c r="U142" s="107">
        <f t="shared" si="22"/>
        <v>0.62480000000000202</v>
      </c>
      <c r="V142" s="22">
        <f t="shared" si="23"/>
        <v>-1.1539853867919688E-2</v>
      </c>
    </row>
    <row r="143" spans="1:22" x14ac:dyDescent="0.25">
      <c r="A143" s="526">
        <v>11</v>
      </c>
      <c r="B143" s="527" t="s">
        <v>71</v>
      </c>
      <c r="C143" s="528" t="s">
        <v>45</v>
      </c>
      <c r="D143" s="385" t="s">
        <v>46</v>
      </c>
      <c r="E143" s="532" t="s">
        <v>19</v>
      </c>
      <c r="F143" s="53">
        <v>3.4</v>
      </c>
      <c r="G143" s="53">
        <v>7.86</v>
      </c>
      <c r="H143" s="535" t="s">
        <v>47</v>
      </c>
      <c r="I143" s="486" t="s">
        <v>48</v>
      </c>
      <c r="J143" s="84">
        <v>45119</v>
      </c>
      <c r="K143" s="46" t="s">
        <v>72</v>
      </c>
      <c r="L143" s="47">
        <v>24.764199999999999</v>
      </c>
      <c r="M143" s="42" t="s">
        <v>2</v>
      </c>
      <c r="N143" s="42" t="s">
        <v>4</v>
      </c>
      <c r="O143" s="17" t="s">
        <v>4</v>
      </c>
      <c r="P143" s="70">
        <v>24.998999999999999</v>
      </c>
      <c r="Q143" s="70">
        <v>24.609000000000002</v>
      </c>
      <c r="R143" s="71"/>
      <c r="S143" s="72">
        <f t="shared" si="24"/>
        <v>-45119</v>
      </c>
      <c r="T143" s="109">
        <f t="shared" ref="T143:T148" si="25">L143-Q143</f>
        <v>0.15519999999999712</v>
      </c>
      <c r="U143" s="107">
        <f t="shared" si="22"/>
        <v>0.14519999999999711</v>
      </c>
      <c r="V143" s="22">
        <f t="shared" si="23"/>
        <v>-2.6817970256432454E-3</v>
      </c>
    </row>
    <row r="144" spans="1:22" x14ac:dyDescent="0.25">
      <c r="A144" s="492"/>
      <c r="B144" s="493"/>
      <c r="C144" s="529"/>
      <c r="D144" s="531"/>
      <c r="E144" s="533"/>
      <c r="F144" s="53">
        <v>3.4</v>
      </c>
      <c r="G144" s="53">
        <v>7.86</v>
      </c>
      <c r="H144" s="517"/>
      <c r="I144" s="487"/>
      <c r="J144" s="84">
        <v>45119</v>
      </c>
      <c r="K144" s="46" t="s">
        <v>73</v>
      </c>
      <c r="L144" s="47">
        <v>24.622</v>
      </c>
      <c r="M144" s="42" t="s">
        <v>2</v>
      </c>
      <c r="N144" s="42" t="s">
        <v>4</v>
      </c>
      <c r="O144" s="17" t="s">
        <v>4</v>
      </c>
      <c r="P144" s="70">
        <v>24.824999999999999</v>
      </c>
      <c r="Q144" s="70">
        <v>24.335000000000001</v>
      </c>
      <c r="R144" s="71"/>
      <c r="S144" s="72">
        <f t="shared" si="24"/>
        <v>-45119</v>
      </c>
      <c r="T144" s="109">
        <f t="shared" si="25"/>
        <v>0.28699999999999903</v>
      </c>
      <c r="U144" s="107">
        <f t="shared" si="22"/>
        <v>0.27699999999999902</v>
      </c>
      <c r="V144" s="22">
        <f t="shared" si="23"/>
        <v>-5.1161003863856138E-3</v>
      </c>
    </row>
    <row r="145" spans="1:22" x14ac:dyDescent="0.25">
      <c r="A145" s="492"/>
      <c r="B145" s="493"/>
      <c r="C145" s="529"/>
      <c r="D145" s="531"/>
      <c r="E145" s="533"/>
      <c r="F145" s="53">
        <v>3.4</v>
      </c>
      <c r="G145" s="53">
        <v>7.86</v>
      </c>
      <c r="H145" s="517"/>
      <c r="I145" s="486" t="s">
        <v>49</v>
      </c>
      <c r="J145" s="84">
        <v>45119</v>
      </c>
      <c r="K145" s="46" t="s">
        <v>74</v>
      </c>
      <c r="L145" s="47">
        <v>24.642900000000001</v>
      </c>
      <c r="M145" s="42" t="s">
        <v>2</v>
      </c>
      <c r="N145" s="42" t="s">
        <v>4</v>
      </c>
      <c r="O145" s="17" t="s">
        <v>4</v>
      </c>
      <c r="P145" s="70">
        <v>24.588000000000001</v>
      </c>
      <c r="Q145" s="70">
        <v>24.181999999999999</v>
      </c>
      <c r="R145" s="71"/>
      <c r="S145" s="72">
        <f t="shared" si="24"/>
        <v>-45119</v>
      </c>
      <c r="T145" s="109">
        <f t="shared" si="25"/>
        <v>0.46090000000000231</v>
      </c>
      <c r="U145" s="107">
        <f t="shared" si="22"/>
        <v>0.4509000000000023</v>
      </c>
      <c r="V145" s="22">
        <f t="shared" si="23"/>
        <v>-8.3279771271526828E-3</v>
      </c>
    </row>
    <row r="146" spans="1:22" x14ac:dyDescent="0.25">
      <c r="A146" s="492"/>
      <c r="B146" s="493"/>
      <c r="C146" s="529"/>
      <c r="D146" s="531"/>
      <c r="E146" s="533"/>
      <c r="F146" s="53">
        <v>3.4</v>
      </c>
      <c r="G146" s="53">
        <v>7.86</v>
      </c>
      <c r="H146" s="517"/>
      <c r="I146" s="487"/>
      <c r="J146" s="84">
        <v>45119</v>
      </c>
      <c r="K146" s="46" t="s">
        <v>75</v>
      </c>
      <c r="L146" s="47">
        <v>24.5412</v>
      </c>
      <c r="M146" s="42" t="s">
        <v>2</v>
      </c>
      <c r="N146" s="42" t="s">
        <v>4</v>
      </c>
      <c r="O146" s="17" t="s">
        <v>4</v>
      </c>
      <c r="P146" s="70">
        <v>23.707999999999998</v>
      </c>
      <c r="Q146" s="70">
        <v>23.378</v>
      </c>
      <c r="R146" s="71"/>
      <c r="S146" s="72">
        <f t="shared" si="24"/>
        <v>-45119</v>
      </c>
      <c r="T146" s="109">
        <f t="shared" si="25"/>
        <v>1.1631999999999998</v>
      </c>
      <c r="U146" s="107">
        <f t="shared" si="22"/>
        <v>1.1531999999999998</v>
      </c>
      <c r="V146" s="22">
        <f t="shared" si="23"/>
        <v>-2.1299230922671157E-2</v>
      </c>
    </row>
    <row r="147" spans="1:22" x14ac:dyDescent="0.25">
      <c r="A147" s="492"/>
      <c r="B147" s="493"/>
      <c r="C147" s="529"/>
      <c r="D147" s="531"/>
      <c r="E147" s="533"/>
      <c r="F147" s="53">
        <v>3.4</v>
      </c>
      <c r="G147" s="53">
        <v>7.86</v>
      </c>
      <c r="H147" s="517"/>
      <c r="I147" s="486" t="s">
        <v>50</v>
      </c>
      <c r="J147" s="84">
        <v>45119</v>
      </c>
      <c r="K147" s="46" t="s">
        <v>76</v>
      </c>
      <c r="L147" s="47">
        <v>24.649699999999999</v>
      </c>
      <c r="M147" s="42" t="s">
        <v>2</v>
      </c>
      <c r="N147" s="42" t="s">
        <v>4</v>
      </c>
      <c r="O147" s="17" t="s">
        <v>4</v>
      </c>
      <c r="P147" s="70">
        <v>23.998999999999999</v>
      </c>
      <c r="Q147" s="70">
        <v>23.69</v>
      </c>
      <c r="R147" s="71"/>
      <c r="S147" s="72">
        <f t="shared" si="24"/>
        <v>-45119</v>
      </c>
      <c r="T147" s="109">
        <f t="shared" si="25"/>
        <v>0.959699999999998</v>
      </c>
      <c r="U147" s="107">
        <f t="shared" si="22"/>
        <v>0.94969999999999799</v>
      </c>
      <c r="V147" s="22">
        <f t="shared" si="23"/>
        <v>-1.7540651757943771E-2</v>
      </c>
    </row>
    <row r="148" spans="1:22" ht="14.4" thickBot="1" x14ac:dyDescent="0.3">
      <c r="A148" s="492"/>
      <c r="B148" s="493"/>
      <c r="C148" s="529"/>
      <c r="D148" s="531"/>
      <c r="E148" s="533"/>
      <c r="F148" s="53">
        <v>3.4</v>
      </c>
      <c r="G148" s="53">
        <v>7.86</v>
      </c>
      <c r="H148" s="517"/>
      <c r="I148" s="517"/>
      <c r="J148" s="84">
        <v>45119</v>
      </c>
      <c r="K148" s="44" t="s">
        <v>77</v>
      </c>
      <c r="L148" s="51">
        <v>24.694099999999999</v>
      </c>
      <c r="M148" s="42" t="s">
        <v>2</v>
      </c>
      <c r="N148" s="42" t="s">
        <v>4</v>
      </c>
      <c r="O148" s="42" t="s">
        <v>4</v>
      </c>
      <c r="P148" s="74">
        <v>24.324999999999999</v>
      </c>
      <c r="Q148" s="74">
        <v>24.163</v>
      </c>
      <c r="R148" s="75"/>
      <c r="S148" s="105">
        <f t="shared" si="24"/>
        <v>-45119</v>
      </c>
      <c r="T148" s="109">
        <f t="shared" si="25"/>
        <v>0.53109999999999857</v>
      </c>
      <c r="U148" s="108">
        <f t="shared" si="22"/>
        <v>0.52109999999999856</v>
      </c>
      <c r="V148" s="76">
        <f t="shared" si="23"/>
        <v>-9.6245484164099119E-3</v>
      </c>
    </row>
    <row r="149" spans="1:22" ht="13.8" customHeight="1" thickBot="1" x14ac:dyDescent="0.3">
      <c r="A149" s="664" t="s">
        <v>78</v>
      </c>
      <c r="B149" s="665"/>
      <c r="C149" s="665"/>
      <c r="D149" s="665"/>
      <c r="E149" s="665"/>
      <c r="F149" s="665"/>
      <c r="G149" s="665"/>
      <c r="H149" s="665"/>
      <c r="I149" s="665"/>
      <c r="J149" s="665"/>
      <c r="K149" s="665"/>
      <c r="L149" s="665"/>
      <c r="M149" s="665"/>
      <c r="N149" s="665"/>
      <c r="O149" s="665"/>
      <c r="P149" s="665"/>
      <c r="Q149" s="665"/>
      <c r="R149" s="665"/>
      <c r="S149" s="665"/>
      <c r="T149" s="665"/>
      <c r="U149" s="665"/>
      <c r="V149" s="666"/>
    </row>
    <row r="150" spans="1:22" x14ac:dyDescent="0.25">
      <c r="A150" s="492">
        <v>12</v>
      </c>
      <c r="B150" s="493" t="s">
        <v>79</v>
      </c>
      <c r="C150" s="529" t="s">
        <v>45</v>
      </c>
      <c r="D150" s="531" t="s">
        <v>46</v>
      </c>
      <c r="E150" s="533" t="s">
        <v>19</v>
      </c>
      <c r="F150" s="53">
        <v>3.4</v>
      </c>
      <c r="G150" s="53">
        <v>7.86</v>
      </c>
      <c r="H150" s="517" t="s">
        <v>47</v>
      </c>
      <c r="I150" s="517" t="s">
        <v>48</v>
      </c>
      <c r="J150" s="54">
        <v>45119</v>
      </c>
      <c r="K150" s="50" t="s">
        <v>80</v>
      </c>
      <c r="L150" s="52">
        <v>24.7515</v>
      </c>
      <c r="M150" s="87" t="s">
        <v>2</v>
      </c>
      <c r="N150" s="87" t="s">
        <v>4</v>
      </c>
      <c r="O150" s="67" t="s">
        <v>4</v>
      </c>
      <c r="P150" s="77">
        <v>24.777999999999999</v>
      </c>
      <c r="Q150" s="77">
        <v>24.643000000000001</v>
      </c>
      <c r="R150" s="78">
        <v>45837</v>
      </c>
      <c r="S150" s="104">
        <f t="shared" si="24"/>
        <v>718</v>
      </c>
      <c r="T150" s="109">
        <f t="shared" ref="T150:T155" si="26">L150-Q150</f>
        <v>0.10849999999999937</v>
      </c>
      <c r="U150" s="109">
        <f t="shared" si="22"/>
        <v>9.849999999999938E-2</v>
      </c>
      <c r="V150" s="9">
        <f t="shared" si="23"/>
        <v>0.11432219127205126</v>
      </c>
    </row>
    <row r="151" spans="1:22" x14ac:dyDescent="0.25">
      <c r="A151" s="492"/>
      <c r="B151" s="493"/>
      <c r="C151" s="529"/>
      <c r="D151" s="531"/>
      <c r="E151" s="533"/>
      <c r="F151" s="53">
        <v>3.4</v>
      </c>
      <c r="G151" s="53">
        <v>7.86</v>
      </c>
      <c r="H151" s="517"/>
      <c r="I151" s="487"/>
      <c r="J151" s="84">
        <v>45119</v>
      </c>
      <c r="K151" s="46" t="s">
        <v>81</v>
      </c>
      <c r="L151" s="47">
        <v>24.591000000000001</v>
      </c>
      <c r="M151" s="42" t="s">
        <v>2</v>
      </c>
      <c r="N151" s="42" t="s">
        <v>4</v>
      </c>
      <c r="O151" s="17" t="s">
        <v>4</v>
      </c>
      <c r="P151" s="70">
        <v>24.573</v>
      </c>
      <c r="Q151" s="70">
        <v>24.475000000000001</v>
      </c>
      <c r="R151" s="71">
        <v>45837</v>
      </c>
      <c r="S151" s="72">
        <f t="shared" si="24"/>
        <v>718</v>
      </c>
      <c r="T151" s="109">
        <f>L151-Q151</f>
        <v>0.11599999999999966</v>
      </c>
      <c r="U151" s="107">
        <f t="shared" si="22"/>
        <v>0.10599999999999966</v>
      </c>
      <c r="V151" s="22">
        <f t="shared" si="23"/>
        <v>0.12302692664809617</v>
      </c>
    </row>
    <row r="152" spans="1:22" x14ac:dyDescent="0.25">
      <c r="A152" s="492"/>
      <c r="B152" s="493"/>
      <c r="C152" s="529"/>
      <c r="D152" s="531"/>
      <c r="E152" s="533"/>
      <c r="F152" s="53">
        <v>3.4</v>
      </c>
      <c r="G152" s="53">
        <v>7.86</v>
      </c>
      <c r="H152" s="517"/>
      <c r="I152" s="486" t="s">
        <v>49</v>
      </c>
      <c r="J152" s="84">
        <v>45119</v>
      </c>
      <c r="K152" s="46" t="s">
        <v>82</v>
      </c>
      <c r="L152" s="47">
        <v>24.982299999999999</v>
      </c>
      <c r="M152" s="42" t="s">
        <v>2</v>
      </c>
      <c r="N152" s="42" t="s">
        <v>4</v>
      </c>
      <c r="O152" s="17" t="s">
        <v>4</v>
      </c>
      <c r="P152" s="70">
        <v>24.864999999999998</v>
      </c>
      <c r="Q152" s="70">
        <v>24.777999999999999</v>
      </c>
      <c r="R152" s="71">
        <v>45837</v>
      </c>
      <c r="S152" s="72">
        <f t="shared" si="24"/>
        <v>718</v>
      </c>
      <c r="T152" s="109">
        <f t="shared" si="26"/>
        <v>0.20429999999999993</v>
      </c>
      <c r="U152" s="107">
        <f t="shared" si="22"/>
        <v>0.19429999999999992</v>
      </c>
      <c r="V152" s="22">
        <f t="shared" si="23"/>
        <v>0.2255106778087278</v>
      </c>
    </row>
    <row r="153" spans="1:22" x14ac:dyDescent="0.25">
      <c r="A153" s="492"/>
      <c r="B153" s="493"/>
      <c r="C153" s="529"/>
      <c r="D153" s="531"/>
      <c r="E153" s="533"/>
      <c r="F153" s="53">
        <v>3.4</v>
      </c>
      <c r="G153" s="53">
        <v>7.86</v>
      </c>
      <c r="H153" s="517"/>
      <c r="I153" s="487"/>
      <c r="J153" s="84">
        <v>45119</v>
      </c>
      <c r="K153" s="46" t="s">
        <v>83</v>
      </c>
      <c r="L153" s="47">
        <v>24.722799999999999</v>
      </c>
      <c r="M153" s="42" t="s">
        <v>2</v>
      </c>
      <c r="N153" s="42" t="s">
        <v>4</v>
      </c>
      <c r="O153" s="17" t="s">
        <v>4</v>
      </c>
      <c r="P153" s="70">
        <v>24.66</v>
      </c>
      <c r="Q153" s="70">
        <v>24.558</v>
      </c>
      <c r="R153" s="71">
        <v>45837</v>
      </c>
      <c r="S153" s="72">
        <f t="shared" si="24"/>
        <v>718</v>
      </c>
      <c r="T153" s="109">
        <f t="shared" si="26"/>
        <v>0.16479999999999961</v>
      </c>
      <c r="U153" s="107">
        <f t="shared" si="22"/>
        <v>0.1547999999999996</v>
      </c>
      <c r="V153" s="22">
        <f t="shared" si="23"/>
        <v>0.1796657381615594</v>
      </c>
    </row>
    <row r="154" spans="1:22" x14ac:dyDescent="0.25">
      <c r="A154" s="492"/>
      <c r="B154" s="493"/>
      <c r="C154" s="529"/>
      <c r="D154" s="531"/>
      <c r="E154" s="533"/>
      <c r="F154" s="53">
        <v>3.4</v>
      </c>
      <c r="G154" s="53">
        <v>7.86</v>
      </c>
      <c r="H154" s="517"/>
      <c r="I154" s="486" t="s">
        <v>50</v>
      </c>
      <c r="J154" s="84">
        <v>45119</v>
      </c>
      <c r="K154" s="46" t="s">
        <v>84</v>
      </c>
      <c r="L154" s="47">
        <v>24.845600000000001</v>
      </c>
      <c r="M154" s="42" t="s">
        <v>2</v>
      </c>
      <c r="N154" s="42" t="s">
        <v>4</v>
      </c>
      <c r="O154" s="17" t="s">
        <v>4</v>
      </c>
      <c r="P154" s="70">
        <v>24.783999999999999</v>
      </c>
      <c r="Q154" s="70">
        <v>24.666</v>
      </c>
      <c r="R154" s="71">
        <v>45837</v>
      </c>
      <c r="S154" s="72">
        <f t="shared" si="24"/>
        <v>718</v>
      </c>
      <c r="T154" s="109">
        <f>L154-Q154</f>
        <v>0.17960000000000065</v>
      </c>
      <c r="U154" s="107">
        <f t="shared" si="22"/>
        <v>0.16960000000000064</v>
      </c>
      <c r="V154" s="22">
        <f t="shared" si="23"/>
        <v>0.19684308263695521</v>
      </c>
    </row>
    <row r="155" spans="1:22" ht="14.4" thickBot="1" x14ac:dyDescent="0.3">
      <c r="A155" s="492"/>
      <c r="B155" s="493"/>
      <c r="C155" s="529"/>
      <c r="D155" s="531"/>
      <c r="E155" s="533"/>
      <c r="F155" s="53">
        <v>3.4</v>
      </c>
      <c r="G155" s="53">
        <v>7.86</v>
      </c>
      <c r="H155" s="517"/>
      <c r="I155" s="517"/>
      <c r="J155" s="84">
        <v>45119</v>
      </c>
      <c r="K155" s="44" t="s">
        <v>85</v>
      </c>
      <c r="L155" s="51">
        <v>24.614999999999998</v>
      </c>
      <c r="M155" s="42" t="s">
        <v>2</v>
      </c>
      <c r="N155" s="42" t="s">
        <v>4</v>
      </c>
      <c r="O155" s="42" t="s">
        <v>4</v>
      </c>
      <c r="P155" s="74">
        <v>24.648</v>
      </c>
      <c r="Q155" s="74">
        <v>24.574999999999999</v>
      </c>
      <c r="R155" s="75">
        <v>45837</v>
      </c>
      <c r="S155" s="105">
        <f t="shared" si="24"/>
        <v>718</v>
      </c>
      <c r="T155" s="109">
        <f t="shared" si="26"/>
        <v>3.9999999999999147E-2</v>
      </c>
      <c r="U155" s="108">
        <f t="shared" si="22"/>
        <v>2.9999999999999145E-2</v>
      </c>
      <c r="V155" s="76">
        <f t="shared" si="23"/>
        <v>3.4818941504177275E-2</v>
      </c>
    </row>
    <row r="156" spans="1:22" ht="13.8" customHeight="1" thickBot="1" x14ac:dyDescent="0.3">
      <c r="A156" s="664" t="s">
        <v>87</v>
      </c>
      <c r="B156" s="665"/>
      <c r="C156" s="665"/>
      <c r="D156" s="665"/>
      <c r="E156" s="665"/>
      <c r="F156" s="665"/>
      <c r="G156" s="665"/>
      <c r="H156" s="665"/>
      <c r="I156" s="665"/>
      <c r="J156" s="665"/>
      <c r="K156" s="665"/>
      <c r="L156" s="665"/>
      <c r="M156" s="665"/>
      <c r="N156" s="665"/>
      <c r="O156" s="665"/>
      <c r="P156" s="665"/>
      <c r="Q156" s="665"/>
      <c r="R156" s="665"/>
      <c r="S156" s="665"/>
      <c r="T156" s="665"/>
      <c r="U156" s="665"/>
      <c r="V156" s="666"/>
    </row>
    <row r="157" spans="1:22" x14ac:dyDescent="0.25">
      <c r="A157" s="408">
        <v>13</v>
      </c>
      <c r="B157" s="366" t="s">
        <v>94</v>
      </c>
      <c r="C157" s="386" t="s">
        <v>12</v>
      </c>
      <c r="D157" s="386" t="s">
        <v>89</v>
      </c>
      <c r="E157" s="409" t="s">
        <v>19</v>
      </c>
      <c r="F157" s="62">
        <v>5.2</v>
      </c>
      <c r="G157" s="62">
        <v>7.86</v>
      </c>
      <c r="H157" s="409" t="s">
        <v>88</v>
      </c>
      <c r="I157" s="409" t="s">
        <v>14</v>
      </c>
      <c r="J157" s="100">
        <v>45121</v>
      </c>
      <c r="K157" s="62" t="s">
        <v>90</v>
      </c>
      <c r="L157" s="63">
        <v>36.722200000000001</v>
      </c>
      <c r="M157" s="87" t="s">
        <v>2</v>
      </c>
      <c r="N157" s="87" t="s">
        <v>4</v>
      </c>
      <c r="O157" s="67" t="s">
        <v>4</v>
      </c>
      <c r="P157" s="77">
        <v>36.74</v>
      </c>
      <c r="Q157" s="77">
        <v>36.704000000000001</v>
      </c>
      <c r="R157" s="78">
        <v>45836</v>
      </c>
      <c r="S157" s="104">
        <f t="shared" si="24"/>
        <v>715</v>
      </c>
      <c r="T157" s="109">
        <f>L157-Q157</f>
        <v>1.8200000000000216E-2</v>
      </c>
      <c r="U157" s="109">
        <f t="shared" si="22"/>
        <v>8.2000000000002158E-3</v>
      </c>
      <c r="V157" s="9">
        <f t="shared" si="23"/>
        <v>6.2488793258025669E-3</v>
      </c>
    </row>
    <row r="158" spans="1:22" ht="14.4" thickBot="1" x14ac:dyDescent="0.3">
      <c r="A158" s="406"/>
      <c r="B158" s="365"/>
      <c r="C158" s="727"/>
      <c r="D158" s="385"/>
      <c r="E158" s="407"/>
      <c r="F158" s="60">
        <v>5.2</v>
      </c>
      <c r="G158" s="60">
        <v>7.86</v>
      </c>
      <c r="H158" s="407"/>
      <c r="I158" s="407"/>
      <c r="J158" s="101">
        <v>45121</v>
      </c>
      <c r="K158" s="60" t="s">
        <v>91</v>
      </c>
      <c r="L158" s="61">
        <v>36.817300000000003</v>
      </c>
      <c r="M158" s="42" t="s">
        <v>2</v>
      </c>
      <c r="N158" s="42" t="s">
        <v>4</v>
      </c>
      <c r="O158" s="42" t="s">
        <v>4</v>
      </c>
      <c r="P158" s="74">
        <v>36.835000000000001</v>
      </c>
      <c r="Q158" s="74">
        <v>36.805999999999997</v>
      </c>
      <c r="R158" s="75">
        <v>45836</v>
      </c>
      <c r="S158" s="105">
        <f t="shared" si="24"/>
        <v>715</v>
      </c>
      <c r="T158" s="109">
        <f>L158-Q158</f>
        <v>1.1300000000005639E-2</v>
      </c>
      <c r="U158" s="108">
        <f t="shared" si="22"/>
        <v>1.3000000000056387E-3</v>
      </c>
      <c r="V158" s="76">
        <f t="shared" si="23"/>
        <v>9.9067599068028748E-4</v>
      </c>
    </row>
    <row r="159" spans="1:22" ht="13.8" customHeight="1" thickBot="1" x14ac:dyDescent="0.3">
      <c r="A159" s="664" t="s">
        <v>93</v>
      </c>
      <c r="B159" s="665"/>
      <c r="C159" s="665"/>
      <c r="D159" s="665"/>
      <c r="E159" s="665"/>
      <c r="F159" s="665"/>
      <c r="G159" s="665"/>
      <c r="H159" s="665"/>
      <c r="I159" s="665"/>
      <c r="J159" s="665"/>
      <c r="K159" s="665"/>
      <c r="L159" s="665"/>
      <c r="M159" s="665"/>
      <c r="N159" s="665"/>
      <c r="O159" s="665"/>
      <c r="P159" s="665"/>
      <c r="Q159" s="665"/>
      <c r="R159" s="665"/>
      <c r="S159" s="665"/>
      <c r="T159" s="665"/>
      <c r="U159" s="665"/>
      <c r="V159" s="666"/>
    </row>
    <row r="160" spans="1:22" x14ac:dyDescent="0.25">
      <c r="A160" s="408">
        <v>14</v>
      </c>
      <c r="B160" s="366" t="s">
        <v>97</v>
      </c>
      <c r="C160" s="386" t="s">
        <v>12</v>
      </c>
      <c r="D160" s="386" t="s">
        <v>89</v>
      </c>
      <c r="E160" s="409" t="s">
        <v>19</v>
      </c>
      <c r="F160" s="62">
        <v>5.2</v>
      </c>
      <c r="G160" s="62">
        <v>7.86</v>
      </c>
      <c r="H160" s="409" t="s">
        <v>95</v>
      </c>
      <c r="I160" s="409" t="s">
        <v>14</v>
      </c>
      <c r="J160" s="100">
        <v>45120</v>
      </c>
      <c r="K160" s="62" t="s">
        <v>105</v>
      </c>
      <c r="L160" s="63">
        <v>36.917499999999997</v>
      </c>
      <c r="M160" s="87" t="s">
        <v>2</v>
      </c>
      <c r="N160" s="87" t="s">
        <v>4</v>
      </c>
      <c r="O160" s="67" t="s">
        <v>4</v>
      </c>
      <c r="P160" s="77">
        <v>36.929000000000002</v>
      </c>
      <c r="Q160" s="77">
        <v>36.9</v>
      </c>
      <c r="R160" s="78">
        <v>45845</v>
      </c>
      <c r="S160" s="104">
        <f t="shared" si="24"/>
        <v>725</v>
      </c>
      <c r="T160" s="109">
        <f>L160-Q160</f>
        <v>1.7499999999998295E-2</v>
      </c>
      <c r="U160" s="109">
        <f t="shared" si="22"/>
        <v>7.4999999999982945E-3</v>
      </c>
      <c r="V160" s="9">
        <f t="shared" si="23"/>
        <v>5.6366047745345267E-3</v>
      </c>
    </row>
    <row r="161" spans="1:22" x14ac:dyDescent="0.25">
      <c r="A161" s="402"/>
      <c r="B161" s="403"/>
      <c r="C161" s="615"/>
      <c r="D161" s="404"/>
      <c r="E161" s="405"/>
      <c r="F161" s="60">
        <v>5.2</v>
      </c>
      <c r="G161" s="60">
        <v>7.86</v>
      </c>
      <c r="H161" s="405"/>
      <c r="I161" s="405"/>
      <c r="J161" s="57">
        <v>45120</v>
      </c>
      <c r="K161" s="56" t="s">
        <v>106</v>
      </c>
      <c r="L161" s="58">
        <v>36.8386</v>
      </c>
      <c r="M161" s="42" t="s">
        <v>2</v>
      </c>
      <c r="N161" s="42" t="s">
        <v>4</v>
      </c>
      <c r="O161" s="17" t="s">
        <v>4</v>
      </c>
      <c r="P161" s="70">
        <v>36.850999999999999</v>
      </c>
      <c r="Q161" s="70">
        <v>36.820999999999998</v>
      </c>
      <c r="R161" s="71">
        <v>45845</v>
      </c>
      <c r="S161" s="72">
        <f t="shared" si="24"/>
        <v>725</v>
      </c>
      <c r="T161" s="109">
        <f>L161-Q161</f>
        <v>1.7600000000001614E-2</v>
      </c>
      <c r="U161" s="107">
        <f t="shared" si="22"/>
        <v>7.6000000000016141E-3</v>
      </c>
      <c r="V161" s="22">
        <f t="shared" si="23"/>
        <v>5.7117595048641655E-3</v>
      </c>
    </row>
    <row r="162" spans="1:22" x14ac:dyDescent="0.25">
      <c r="A162" s="402">
        <v>15</v>
      </c>
      <c r="B162" s="403" t="s">
        <v>98</v>
      </c>
      <c r="C162" s="404" t="s">
        <v>12</v>
      </c>
      <c r="D162" s="404" t="s">
        <v>89</v>
      </c>
      <c r="E162" s="405" t="s">
        <v>19</v>
      </c>
      <c r="F162" s="62">
        <v>5.2</v>
      </c>
      <c r="G162" s="62">
        <v>7.86</v>
      </c>
      <c r="H162" s="405" t="s">
        <v>102</v>
      </c>
      <c r="I162" s="405" t="s">
        <v>14</v>
      </c>
      <c r="J162" s="57">
        <v>45120</v>
      </c>
      <c r="K162" s="56" t="s">
        <v>107</v>
      </c>
      <c r="L162" s="58">
        <v>36.930700000000002</v>
      </c>
      <c r="M162" s="42" t="s">
        <v>2</v>
      </c>
      <c r="N162" s="42" t="s">
        <v>4</v>
      </c>
      <c r="O162" s="17" t="s">
        <v>4</v>
      </c>
      <c r="P162" s="70">
        <v>36.950000000000003</v>
      </c>
      <c r="Q162" s="70">
        <v>36.918999999999997</v>
      </c>
      <c r="R162" s="71">
        <v>45844</v>
      </c>
      <c r="S162" s="72">
        <f t="shared" si="24"/>
        <v>724</v>
      </c>
      <c r="T162" s="109">
        <f>L162-Q162</f>
        <v>1.1700000000004707E-2</v>
      </c>
      <c r="U162" s="107">
        <f t="shared" si="22"/>
        <v>1.7000000000047064E-3</v>
      </c>
      <c r="V162" s="22">
        <f t="shared" si="23"/>
        <v>1.279395098459414E-3</v>
      </c>
    </row>
    <row r="163" spans="1:22" x14ac:dyDescent="0.25">
      <c r="A163" s="402"/>
      <c r="B163" s="403"/>
      <c r="C163" s="615"/>
      <c r="D163" s="404"/>
      <c r="E163" s="405"/>
      <c r="F163" s="60">
        <v>5.2</v>
      </c>
      <c r="G163" s="60">
        <v>7.86</v>
      </c>
      <c r="H163" s="405"/>
      <c r="I163" s="405"/>
      <c r="J163" s="57">
        <v>45120</v>
      </c>
      <c r="K163" s="56" t="s">
        <v>108</v>
      </c>
      <c r="L163" s="58">
        <v>36.893900000000002</v>
      </c>
      <c r="M163" s="42" t="s">
        <v>2</v>
      </c>
      <c r="N163" s="42" t="s">
        <v>4</v>
      </c>
      <c r="O163" s="17" t="s">
        <v>4</v>
      </c>
      <c r="P163" s="70">
        <v>36.918999999999997</v>
      </c>
      <c r="Q163" s="70">
        <v>36.881999999999998</v>
      </c>
      <c r="R163" s="71">
        <v>45844</v>
      </c>
      <c r="S163" s="72">
        <f t="shared" si="24"/>
        <v>724</v>
      </c>
      <c r="T163" s="109">
        <f t="shared" ref="T163:T169" si="27">L163-Q163</f>
        <v>1.1900000000004241E-2</v>
      </c>
      <c r="U163" s="107">
        <f t="shared" si="22"/>
        <v>1.9000000000042403E-3</v>
      </c>
      <c r="V163" s="22">
        <f t="shared" si="23"/>
        <v>1.4299121688656363E-3</v>
      </c>
    </row>
    <row r="164" spans="1:22" x14ac:dyDescent="0.25">
      <c r="A164" s="402">
        <v>16</v>
      </c>
      <c r="B164" s="403" t="s">
        <v>99</v>
      </c>
      <c r="C164" s="404" t="s">
        <v>12</v>
      </c>
      <c r="D164" s="404" t="s">
        <v>89</v>
      </c>
      <c r="E164" s="405" t="s">
        <v>19</v>
      </c>
      <c r="F164" s="62">
        <v>5.2</v>
      </c>
      <c r="G164" s="62">
        <v>7.86</v>
      </c>
      <c r="H164" s="405" t="s">
        <v>102</v>
      </c>
      <c r="I164" s="405" t="s">
        <v>14</v>
      </c>
      <c r="J164" s="57">
        <v>45120</v>
      </c>
      <c r="K164" s="56" t="s">
        <v>109</v>
      </c>
      <c r="L164" s="58">
        <v>36.612400000000001</v>
      </c>
      <c r="M164" s="42" t="s">
        <v>2</v>
      </c>
      <c r="N164" s="42" t="s">
        <v>4</v>
      </c>
      <c r="O164" s="17" t="s">
        <v>4</v>
      </c>
      <c r="P164" s="70">
        <v>36.969000000000001</v>
      </c>
      <c r="Q164" s="70">
        <v>36.908999999999999</v>
      </c>
      <c r="R164" s="71">
        <v>45845</v>
      </c>
      <c r="S164" s="72">
        <f t="shared" si="24"/>
        <v>725</v>
      </c>
      <c r="T164" s="109">
        <f t="shared" si="27"/>
        <v>-0.29659999999999798</v>
      </c>
      <c r="U164" s="107">
        <f t="shared" si="22"/>
        <v>-0.30659999999999799</v>
      </c>
      <c r="V164" s="22">
        <f t="shared" si="23"/>
        <v>-0.23042440318302237</v>
      </c>
    </row>
    <row r="165" spans="1:22" x14ac:dyDescent="0.25">
      <c r="A165" s="402"/>
      <c r="B165" s="403"/>
      <c r="C165" s="615"/>
      <c r="D165" s="404"/>
      <c r="E165" s="405"/>
      <c r="F165" s="60">
        <v>5.2</v>
      </c>
      <c r="G165" s="60">
        <v>7.86</v>
      </c>
      <c r="H165" s="405"/>
      <c r="I165" s="405"/>
      <c r="J165" s="57">
        <v>45120</v>
      </c>
      <c r="K165" s="56" t="s">
        <v>110</v>
      </c>
      <c r="L165" s="58">
        <v>36.940399999999997</v>
      </c>
      <c r="M165" s="42" t="s">
        <v>2</v>
      </c>
      <c r="N165" s="42" t="s">
        <v>4</v>
      </c>
      <c r="O165" s="17" t="s">
        <v>4</v>
      </c>
      <c r="P165" s="70">
        <v>36.643000000000001</v>
      </c>
      <c r="Q165" s="70">
        <v>36.578000000000003</v>
      </c>
      <c r="R165" s="71">
        <v>45845</v>
      </c>
      <c r="S165" s="72">
        <f t="shared" si="24"/>
        <v>725</v>
      </c>
      <c r="T165" s="109">
        <f t="shared" si="27"/>
        <v>0.36239999999999384</v>
      </c>
      <c r="U165" s="107">
        <f t="shared" si="22"/>
        <v>0.35239999999999383</v>
      </c>
      <c r="V165" s="22">
        <f t="shared" si="23"/>
        <v>0.26484526967285127</v>
      </c>
    </row>
    <row r="166" spans="1:22" x14ac:dyDescent="0.25">
      <c r="A166" s="402">
        <v>17</v>
      </c>
      <c r="B166" s="403" t="s">
        <v>100</v>
      </c>
      <c r="C166" s="404" t="s">
        <v>12</v>
      </c>
      <c r="D166" s="404" t="s">
        <v>89</v>
      </c>
      <c r="E166" s="405" t="s">
        <v>19</v>
      </c>
      <c r="F166" s="62">
        <v>5.2</v>
      </c>
      <c r="G166" s="62">
        <v>7.86</v>
      </c>
      <c r="H166" s="405" t="s">
        <v>103</v>
      </c>
      <c r="I166" s="405" t="s">
        <v>14</v>
      </c>
      <c r="J166" s="57">
        <v>45120</v>
      </c>
      <c r="K166" s="56" t="s">
        <v>111</v>
      </c>
      <c r="L166" s="58">
        <v>36.978400000000001</v>
      </c>
      <c r="M166" s="42" t="s">
        <v>2</v>
      </c>
      <c r="N166" s="42" t="s">
        <v>4</v>
      </c>
      <c r="O166" s="17" t="s">
        <v>4</v>
      </c>
      <c r="P166" s="70">
        <v>36.840000000000003</v>
      </c>
      <c r="Q166" s="70">
        <v>36.732999999999997</v>
      </c>
      <c r="R166" s="71">
        <v>45845</v>
      </c>
      <c r="S166" s="72">
        <f t="shared" si="24"/>
        <v>725</v>
      </c>
      <c r="T166" s="109">
        <f t="shared" si="27"/>
        <v>0.24540000000000362</v>
      </c>
      <c r="U166" s="107">
        <f t="shared" si="22"/>
        <v>0.23540000000000361</v>
      </c>
      <c r="V166" s="22">
        <f t="shared" si="23"/>
        <v>0.17691423519009997</v>
      </c>
    </row>
    <row r="167" spans="1:22" x14ac:dyDescent="0.25">
      <c r="A167" s="402"/>
      <c r="B167" s="403"/>
      <c r="C167" s="615"/>
      <c r="D167" s="404"/>
      <c r="E167" s="405"/>
      <c r="F167" s="60">
        <v>5.2</v>
      </c>
      <c r="G167" s="60">
        <v>7.86</v>
      </c>
      <c r="H167" s="405"/>
      <c r="I167" s="405"/>
      <c r="J167" s="57">
        <v>45120</v>
      </c>
      <c r="K167" s="56" t="s">
        <v>112</v>
      </c>
      <c r="L167" s="58">
        <v>36.683399999999999</v>
      </c>
      <c r="M167" s="42" t="s">
        <v>2</v>
      </c>
      <c r="N167" s="42" t="s">
        <v>4</v>
      </c>
      <c r="O167" s="17" t="s">
        <v>4</v>
      </c>
      <c r="P167" s="70">
        <v>36.552</v>
      </c>
      <c r="Q167" s="70">
        <v>36.456000000000003</v>
      </c>
      <c r="R167" s="71">
        <v>45845</v>
      </c>
      <c r="S167" s="72">
        <f t="shared" si="24"/>
        <v>725</v>
      </c>
      <c r="T167" s="109">
        <f t="shared" si="27"/>
        <v>0.22739999999999583</v>
      </c>
      <c r="U167" s="107">
        <f t="shared" si="22"/>
        <v>0.21739999999999582</v>
      </c>
      <c r="V167" s="22">
        <f t="shared" si="23"/>
        <v>0.16338638373120817</v>
      </c>
    </row>
    <row r="168" spans="1:22" x14ac:dyDescent="0.25">
      <c r="A168" s="402">
        <v>18</v>
      </c>
      <c r="B168" s="403" t="s">
        <v>101</v>
      </c>
      <c r="C168" s="404" t="s">
        <v>12</v>
      </c>
      <c r="D168" s="404" t="s">
        <v>89</v>
      </c>
      <c r="E168" s="405" t="s">
        <v>19</v>
      </c>
      <c r="F168" s="62">
        <v>5.2</v>
      </c>
      <c r="G168" s="62">
        <v>7.86</v>
      </c>
      <c r="H168" s="405" t="s">
        <v>104</v>
      </c>
      <c r="I168" s="405" t="s">
        <v>14</v>
      </c>
      <c r="J168" s="57">
        <v>45120</v>
      </c>
      <c r="K168" s="56" t="s">
        <v>113</v>
      </c>
      <c r="L168" s="58">
        <v>36.698500000000003</v>
      </c>
      <c r="M168" s="42" t="s">
        <v>2</v>
      </c>
      <c r="N168" s="42" t="s">
        <v>4</v>
      </c>
      <c r="O168" s="17" t="s">
        <v>4</v>
      </c>
      <c r="P168" s="70">
        <v>36.478999999999999</v>
      </c>
      <c r="Q168" s="70">
        <v>36.32</v>
      </c>
      <c r="R168" s="71">
        <v>45844</v>
      </c>
      <c r="S168" s="72">
        <f t="shared" si="24"/>
        <v>724</v>
      </c>
      <c r="T168" s="109">
        <f t="shared" si="27"/>
        <v>0.3785000000000025</v>
      </c>
      <c r="U168" s="107">
        <f t="shared" si="22"/>
        <v>0.36850000000000249</v>
      </c>
      <c r="V168" s="22">
        <f t="shared" si="23"/>
        <v>0.2773277022241129</v>
      </c>
    </row>
    <row r="169" spans="1:22" ht="14.4" thickBot="1" x14ac:dyDescent="0.3">
      <c r="A169" s="406"/>
      <c r="B169" s="365"/>
      <c r="C169" s="727"/>
      <c r="D169" s="385"/>
      <c r="E169" s="407"/>
      <c r="F169" s="60">
        <v>5.2</v>
      </c>
      <c r="G169" s="60">
        <v>7.86</v>
      </c>
      <c r="H169" s="407"/>
      <c r="I169" s="407"/>
      <c r="J169" s="101">
        <v>45120</v>
      </c>
      <c r="K169" s="60" t="s">
        <v>114</v>
      </c>
      <c r="L169" s="61">
        <v>36.818100000000001</v>
      </c>
      <c r="M169" s="42" t="s">
        <v>2</v>
      </c>
      <c r="N169" s="42" t="s">
        <v>4</v>
      </c>
      <c r="O169" s="42" t="s">
        <v>4</v>
      </c>
      <c r="P169" s="74">
        <v>36.554000000000002</v>
      </c>
      <c r="Q169" s="74">
        <v>36.362000000000002</v>
      </c>
      <c r="R169" s="75">
        <v>45844</v>
      </c>
      <c r="S169" s="105">
        <f t="shared" si="24"/>
        <v>724</v>
      </c>
      <c r="T169" s="109">
        <f t="shared" si="27"/>
        <v>0.45609999999999928</v>
      </c>
      <c r="U169" s="108">
        <f t="shared" si="22"/>
        <v>0.44609999999999927</v>
      </c>
      <c r="V169" s="76">
        <f t="shared" si="23"/>
        <v>0.33572832554186094</v>
      </c>
    </row>
    <row r="170" spans="1:22" ht="13.8" customHeight="1" thickBot="1" x14ac:dyDescent="0.3">
      <c r="A170" s="664" t="s">
        <v>115</v>
      </c>
      <c r="B170" s="665"/>
      <c r="C170" s="665"/>
      <c r="D170" s="665"/>
      <c r="E170" s="665"/>
      <c r="F170" s="665"/>
      <c r="G170" s="665"/>
      <c r="H170" s="665"/>
      <c r="I170" s="665"/>
      <c r="J170" s="665"/>
      <c r="K170" s="665"/>
      <c r="L170" s="665"/>
      <c r="M170" s="665"/>
      <c r="N170" s="665"/>
      <c r="O170" s="665"/>
      <c r="P170" s="665"/>
      <c r="Q170" s="665"/>
      <c r="R170" s="665"/>
      <c r="S170" s="665"/>
      <c r="T170" s="665"/>
      <c r="U170" s="665"/>
      <c r="V170" s="666"/>
    </row>
    <row r="171" spans="1:22" x14ac:dyDescent="0.25">
      <c r="A171" s="408">
        <v>1</v>
      </c>
      <c r="B171" s="366" t="s">
        <v>116</v>
      </c>
      <c r="C171" s="386" t="s">
        <v>117</v>
      </c>
      <c r="D171" s="386" t="s">
        <v>36</v>
      </c>
      <c r="E171" s="725" t="s">
        <v>168</v>
      </c>
      <c r="F171" s="725">
        <v>2.5</v>
      </c>
      <c r="G171" s="725">
        <v>7.86</v>
      </c>
      <c r="H171" s="725" t="s">
        <v>117</v>
      </c>
      <c r="I171" s="725" t="s">
        <v>117</v>
      </c>
      <c r="J171" s="720">
        <v>45162</v>
      </c>
      <c r="K171" s="722" t="s">
        <v>119</v>
      </c>
      <c r="L171" s="723">
        <v>17.2575</v>
      </c>
      <c r="M171" s="707" t="s">
        <v>2</v>
      </c>
      <c r="N171" s="707" t="s">
        <v>4</v>
      </c>
      <c r="O171" s="719" t="s">
        <v>124</v>
      </c>
      <c r="P171" s="681">
        <v>17.629000000000001</v>
      </c>
      <c r="Q171" s="681">
        <v>17.221</v>
      </c>
      <c r="R171" s="682">
        <v>45836</v>
      </c>
      <c r="S171" s="684">
        <f>R171-J171</f>
        <v>674</v>
      </c>
      <c r="T171" s="663">
        <f>L171-Q171</f>
        <v>3.6500000000000199E-2</v>
      </c>
      <c r="U171" s="663">
        <f t="shared" si="22"/>
        <v>2.6500000000000197E-2</v>
      </c>
      <c r="V171" s="660">
        <f>(U171*22270)/(S171*G171*F171)</f>
        <v>4.4559841740850974E-2</v>
      </c>
    </row>
    <row r="172" spans="1:22" x14ac:dyDescent="0.25">
      <c r="A172" s="402"/>
      <c r="B172" s="403"/>
      <c r="C172" s="615"/>
      <c r="D172" s="404"/>
      <c r="E172" s="726"/>
      <c r="F172" s="726"/>
      <c r="G172" s="726"/>
      <c r="H172" s="726"/>
      <c r="I172" s="726"/>
      <c r="J172" s="721"/>
      <c r="K172" s="409"/>
      <c r="L172" s="724"/>
      <c r="M172" s="718"/>
      <c r="N172" s="718"/>
      <c r="O172" s="711"/>
      <c r="P172" s="679"/>
      <c r="Q172" s="679"/>
      <c r="R172" s="683"/>
      <c r="S172" s="685"/>
      <c r="T172" s="677"/>
      <c r="U172" s="677"/>
      <c r="V172" s="661"/>
    </row>
    <row r="173" spans="1:22" x14ac:dyDescent="0.25">
      <c r="A173" s="402">
        <v>2</v>
      </c>
      <c r="B173" s="403" t="s">
        <v>121</v>
      </c>
      <c r="C173" s="404" t="s">
        <v>117</v>
      </c>
      <c r="D173" s="404" t="s">
        <v>117</v>
      </c>
      <c r="E173" s="405" t="s">
        <v>19</v>
      </c>
      <c r="F173" s="405" t="s">
        <v>117</v>
      </c>
      <c r="G173" s="405">
        <v>7.86</v>
      </c>
      <c r="H173" s="405" t="s">
        <v>117</v>
      </c>
      <c r="I173" s="405" t="s">
        <v>117</v>
      </c>
      <c r="J173" s="410" t="s">
        <v>117</v>
      </c>
      <c r="K173" s="407" t="s">
        <v>117</v>
      </c>
      <c r="L173" s="413"/>
      <c r="M173" s="710" t="s">
        <v>123</v>
      </c>
      <c r="N173" s="710" t="s">
        <v>124</v>
      </c>
      <c r="O173" s="711" t="s">
        <v>120</v>
      </c>
      <c r="P173" s="678"/>
      <c r="Q173" s="678"/>
      <c r="R173" s="678"/>
      <c r="S173" s="670"/>
      <c r="T173" s="677"/>
      <c r="U173" s="662"/>
      <c r="V173" s="613" t="s">
        <v>117</v>
      </c>
    </row>
    <row r="174" spans="1:22" ht="14.4" thickBot="1" x14ac:dyDescent="0.3">
      <c r="A174" s="402"/>
      <c r="B174" s="403"/>
      <c r="C174" s="615"/>
      <c r="D174" s="404"/>
      <c r="E174" s="405"/>
      <c r="F174" s="405"/>
      <c r="G174" s="405"/>
      <c r="H174" s="405"/>
      <c r="I174" s="405"/>
      <c r="J174" s="410"/>
      <c r="K174" s="409"/>
      <c r="L174" s="415"/>
      <c r="M174" s="710"/>
      <c r="N174" s="710"/>
      <c r="O174" s="711"/>
      <c r="P174" s="679"/>
      <c r="Q174" s="679"/>
      <c r="R174" s="679"/>
      <c r="S174" s="680"/>
      <c r="T174" s="677"/>
      <c r="U174" s="663"/>
      <c r="V174" s="661"/>
    </row>
    <row r="175" spans="1:22" x14ac:dyDescent="0.25">
      <c r="A175" s="712" t="s">
        <v>128</v>
      </c>
      <c r="B175" s="713"/>
      <c r="C175" s="713"/>
      <c r="D175" s="713"/>
      <c r="E175" s="713"/>
      <c r="F175" s="713"/>
      <c r="G175" s="713"/>
      <c r="H175" s="713"/>
      <c r="I175" s="713"/>
      <c r="J175" s="713"/>
      <c r="K175" s="713"/>
      <c r="L175" s="713"/>
      <c r="M175" s="712" t="s">
        <v>130</v>
      </c>
      <c r="N175" s="713"/>
      <c r="O175" s="714"/>
      <c r="P175" s="48"/>
      <c r="Q175" s="48"/>
      <c r="R175" s="49"/>
      <c r="S175" s="43"/>
      <c r="T175" s="91"/>
      <c r="U175" s="91"/>
      <c r="V175" s="43"/>
    </row>
    <row r="176" spans="1:22" ht="14.4" thickBot="1" x14ac:dyDescent="0.3">
      <c r="A176" s="715" t="s">
        <v>129</v>
      </c>
      <c r="B176" s="716"/>
      <c r="C176" s="716"/>
      <c r="D176" s="716"/>
      <c r="E176" s="716"/>
      <c r="F176" s="716"/>
      <c r="G176" s="716"/>
      <c r="H176" s="716"/>
      <c r="I176" s="716"/>
      <c r="J176" s="716"/>
      <c r="K176" s="716"/>
      <c r="L176" s="716"/>
      <c r="M176" s="715" t="s">
        <v>130</v>
      </c>
      <c r="N176" s="716"/>
      <c r="O176" s="717"/>
      <c r="P176" s="48"/>
      <c r="Q176" s="48"/>
      <c r="R176" s="49"/>
      <c r="S176" s="43"/>
      <c r="T176" s="91"/>
      <c r="U176" s="91"/>
      <c r="V176" s="43"/>
    </row>
  </sheetData>
  <mergeCells count="561">
    <mergeCell ref="A1:L1"/>
    <mergeCell ref="M1:O1"/>
    <mergeCell ref="A2:C2"/>
    <mergeCell ref="D2:L2"/>
    <mergeCell ref="M2:M3"/>
    <mergeCell ref="N2:N3"/>
    <mergeCell ref="O2:O3"/>
    <mergeCell ref="H17:H18"/>
    <mergeCell ref="I17:I18"/>
    <mergeCell ref="A17:A18"/>
    <mergeCell ref="C17:C18"/>
    <mergeCell ref="D17:D18"/>
    <mergeCell ref="E17:E18"/>
    <mergeCell ref="A9:A10"/>
    <mergeCell ref="C9:C10"/>
    <mergeCell ref="D9:D10"/>
    <mergeCell ref="E9:E10"/>
    <mergeCell ref="H9:H10"/>
    <mergeCell ref="I9:I10"/>
    <mergeCell ref="H21:H22"/>
    <mergeCell ref="I21:I22"/>
    <mergeCell ref="A21:A22"/>
    <mergeCell ref="C21:C22"/>
    <mergeCell ref="D21:D22"/>
    <mergeCell ref="E21:E22"/>
    <mergeCell ref="H19:H20"/>
    <mergeCell ref="I19:I20"/>
    <mergeCell ref="A19:A20"/>
    <mergeCell ref="C19:C20"/>
    <mergeCell ref="D19:D20"/>
    <mergeCell ref="E19:E20"/>
    <mergeCell ref="H29:H30"/>
    <mergeCell ref="I29:I30"/>
    <mergeCell ref="A29:A30"/>
    <mergeCell ref="C29:C30"/>
    <mergeCell ref="D29:D30"/>
    <mergeCell ref="E29:E30"/>
    <mergeCell ref="H26:H27"/>
    <mergeCell ref="I26:I27"/>
    <mergeCell ref="I24:I25"/>
    <mergeCell ref="A26:A27"/>
    <mergeCell ref="C26:C27"/>
    <mergeCell ref="D26:D27"/>
    <mergeCell ref="E26:E27"/>
    <mergeCell ref="A24:A25"/>
    <mergeCell ref="C24:C25"/>
    <mergeCell ref="D24:D25"/>
    <mergeCell ref="E24:E25"/>
    <mergeCell ref="H24:H25"/>
    <mergeCell ref="H33:H34"/>
    <mergeCell ref="I33:I34"/>
    <mergeCell ref="J33:J34"/>
    <mergeCell ref="A33:A34"/>
    <mergeCell ref="B33:B34"/>
    <mergeCell ref="C33:C34"/>
    <mergeCell ref="D33:D34"/>
    <mergeCell ref="E33:E34"/>
    <mergeCell ref="H31:H32"/>
    <mergeCell ref="I31:I32"/>
    <mergeCell ref="A31:A32"/>
    <mergeCell ref="B31:B32"/>
    <mergeCell ref="C31:C32"/>
    <mergeCell ref="D31:D32"/>
    <mergeCell ref="E31:E32"/>
    <mergeCell ref="H39:H40"/>
    <mergeCell ref="I39:I40"/>
    <mergeCell ref="A39:A40"/>
    <mergeCell ref="C39:C40"/>
    <mergeCell ref="D39:D40"/>
    <mergeCell ref="E39:E40"/>
    <mergeCell ref="I36:I37"/>
    <mergeCell ref="A36:A37"/>
    <mergeCell ref="C36:C37"/>
    <mergeCell ref="D36:D37"/>
    <mergeCell ref="E36:E37"/>
    <mergeCell ref="H36:H37"/>
    <mergeCell ref="G44:G45"/>
    <mergeCell ref="H44:H45"/>
    <mergeCell ref="I44:I45"/>
    <mergeCell ref="J44:J45"/>
    <mergeCell ref="I42:I43"/>
    <mergeCell ref="A44:A45"/>
    <mergeCell ref="B44:B45"/>
    <mergeCell ref="C44:C45"/>
    <mergeCell ref="D44:D45"/>
    <mergeCell ref="E44:E45"/>
    <mergeCell ref="F44:F45"/>
    <mergeCell ref="A42:A43"/>
    <mergeCell ref="C42:C43"/>
    <mergeCell ref="D42:D43"/>
    <mergeCell ref="E42:E43"/>
    <mergeCell ref="H42:H43"/>
    <mergeCell ref="G46:G47"/>
    <mergeCell ref="H46:H47"/>
    <mergeCell ref="I46:I47"/>
    <mergeCell ref="J46:J47"/>
    <mergeCell ref="A46:A47"/>
    <mergeCell ref="B46:B47"/>
    <mergeCell ref="C46:C47"/>
    <mergeCell ref="D46:D47"/>
    <mergeCell ref="E46:E47"/>
    <mergeCell ref="F46:F47"/>
    <mergeCell ref="G48:G49"/>
    <mergeCell ref="H48:H49"/>
    <mergeCell ref="I48:I49"/>
    <mergeCell ref="J48:J49"/>
    <mergeCell ref="A48:A49"/>
    <mergeCell ref="B48:B49"/>
    <mergeCell ref="C48:C49"/>
    <mergeCell ref="D48:D49"/>
    <mergeCell ref="E48:E49"/>
    <mergeCell ref="F48:F49"/>
    <mergeCell ref="G50:G51"/>
    <mergeCell ref="H50:H51"/>
    <mergeCell ref="I50:I51"/>
    <mergeCell ref="J50:J51"/>
    <mergeCell ref="A50:A51"/>
    <mergeCell ref="B50:B51"/>
    <mergeCell ref="C50:C51"/>
    <mergeCell ref="D50:D51"/>
    <mergeCell ref="E50:E51"/>
    <mergeCell ref="F50:F51"/>
    <mergeCell ref="G52:G53"/>
    <mergeCell ref="H52:H53"/>
    <mergeCell ref="I52:I53"/>
    <mergeCell ref="J52:J53"/>
    <mergeCell ref="A52:A53"/>
    <mergeCell ref="B52:B53"/>
    <mergeCell ref="C52:C53"/>
    <mergeCell ref="D52:D53"/>
    <mergeCell ref="E52:E53"/>
    <mergeCell ref="F52:F53"/>
    <mergeCell ref="G54:G55"/>
    <mergeCell ref="H54:H55"/>
    <mergeCell ref="I54:I55"/>
    <mergeCell ref="J54:J55"/>
    <mergeCell ref="A54:A55"/>
    <mergeCell ref="B54:B55"/>
    <mergeCell ref="C54:C55"/>
    <mergeCell ref="D54:D55"/>
    <mergeCell ref="E54:E55"/>
    <mergeCell ref="F54:F55"/>
    <mergeCell ref="G56:G57"/>
    <mergeCell ref="H56:H57"/>
    <mergeCell ref="I56:I57"/>
    <mergeCell ref="J56:J57"/>
    <mergeCell ref="A56:A57"/>
    <mergeCell ref="B56:B57"/>
    <mergeCell ref="C56:C57"/>
    <mergeCell ref="D56:D57"/>
    <mergeCell ref="E56:E57"/>
    <mergeCell ref="F56:F57"/>
    <mergeCell ref="H60:H61"/>
    <mergeCell ref="I60:I61"/>
    <mergeCell ref="A60:A61"/>
    <mergeCell ref="C60:C61"/>
    <mergeCell ref="D60:D61"/>
    <mergeCell ref="E60:E61"/>
    <mergeCell ref="H58:H59"/>
    <mergeCell ref="I58:I59"/>
    <mergeCell ref="J58:J59"/>
    <mergeCell ref="A58:A59"/>
    <mergeCell ref="B58:B59"/>
    <mergeCell ref="C58:C59"/>
    <mergeCell ref="D58:D59"/>
    <mergeCell ref="E58:E59"/>
    <mergeCell ref="H64:H65"/>
    <mergeCell ref="I64:I65"/>
    <mergeCell ref="A64:A65"/>
    <mergeCell ref="C64:C65"/>
    <mergeCell ref="D64:D65"/>
    <mergeCell ref="E64:E65"/>
    <mergeCell ref="H62:H63"/>
    <mergeCell ref="I62:I63"/>
    <mergeCell ref="A62:A63"/>
    <mergeCell ref="B62:B63"/>
    <mergeCell ref="C62:C63"/>
    <mergeCell ref="D62:D63"/>
    <mergeCell ref="E62:E63"/>
    <mergeCell ref="H68:H69"/>
    <mergeCell ref="I68:I69"/>
    <mergeCell ref="J68:J69"/>
    <mergeCell ref="A68:A69"/>
    <mergeCell ref="B68:B69"/>
    <mergeCell ref="C68:C69"/>
    <mergeCell ref="D68:D69"/>
    <mergeCell ref="E68:E69"/>
    <mergeCell ref="H66:H67"/>
    <mergeCell ref="I66:I67"/>
    <mergeCell ref="A66:A67"/>
    <mergeCell ref="C66:C67"/>
    <mergeCell ref="D66:D67"/>
    <mergeCell ref="E66:E67"/>
    <mergeCell ref="H72:H73"/>
    <mergeCell ref="I72:I73"/>
    <mergeCell ref="A72:A73"/>
    <mergeCell ref="C72:C73"/>
    <mergeCell ref="D72:D73"/>
    <mergeCell ref="E72:E73"/>
    <mergeCell ref="H70:H71"/>
    <mergeCell ref="I70:I71"/>
    <mergeCell ref="A70:A71"/>
    <mergeCell ref="C70:C71"/>
    <mergeCell ref="D70:D71"/>
    <mergeCell ref="E70:E71"/>
    <mergeCell ref="H76:H77"/>
    <mergeCell ref="I76:I77"/>
    <mergeCell ref="A76:A77"/>
    <mergeCell ref="C76:C77"/>
    <mergeCell ref="D76:D77"/>
    <mergeCell ref="E76:E77"/>
    <mergeCell ref="H74:H75"/>
    <mergeCell ref="I74:I75"/>
    <mergeCell ref="A74:A75"/>
    <mergeCell ref="C74:C75"/>
    <mergeCell ref="D74:D75"/>
    <mergeCell ref="E74:E75"/>
    <mergeCell ref="H81:H82"/>
    <mergeCell ref="I81:I82"/>
    <mergeCell ref="I79:I80"/>
    <mergeCell ref="J79:J80"/>
    <mergeCell ref="A81:A82"/>
    <mergeCell ref="C81:C82"/>
    <mergeCell ref="D81:D82"/>
    <mergeCell ref="E81:E82"/>
    <mergeCell ref="A79:A80"/>
    <mergeCell ref="B79:B80"/>
    <mergeCell ref="C79:C80"/>
    <mergeCell ref="D79:D80"/>
    <mergeCell ref="E79:E80"/>
    <mergeCell ref="F79:F80"/>
    <mergeCell ref="G79:G80"/>
    <mergeCell ref="H79:H80"/>
    <mergeCell ref="H86:H87"/>
    <mergeCell ref="I86:I87"/>
    <mergeCell ref="I84:I85"/>
    <mergeCell ref="A86:A87"/>
    <mergeCell ref="C86:C87"/>
    <mergeCell ref="D86:D87"/>
    <mergeCell ref="E86:E87"/>
    <mergeCell ref="A84:A85"/>
    <mergeCell ref="C84:C85"/>
    <mergeCell ref="D84:D85"/>
    <mergeCell ref="E84:E85"/>
    <mergeCell ref="H84:H85"/>
    <mergeCell ref="I91:I92"/>
    <mergeCell ref="A91:A92"/>
    <mergeCell ref="C91:C92"/>
    <mergeCell ref="D91:D92"/>
    <mergeCell ref="E91:E92"/>
    <mergeCell ref="H91:H92"/>
    <mergeCell ref="H88:H89"/>
    <mergeCell ref="I88:I89"/>
    <mergeCell ref="A88:A89"/>
    <mergeCell ref="C88:C89"/>
    <mergeCell ref="D88:D89"/>
    <mergeCell ref="E88:E89"/>
    <mergeCell ref="A90:V90"/>
    <mergeCell ref="O94:O95"/>
    <mergeCell ref="A96:A97"/>
    <mergeCell ref="C96:C97"/>
    <mergeCell ref="D96:D97"/>
    <mergeCell ref="E96:E97"/>
    <mergeCell ref="H96:H97"/>
    <mergeCell ref="I96:I97"/>
    <mergeCell ref="A94:A95"/>
    <mergeCell ref="B94:B95"/>
    <mergeCell ref="C94:C95"/>
    <mergeCell ref="D94:J95"/>
    <mergeCell ref="H100:H101"/>
    <mergeCell ref="I100:I101"/>
    <mergeCell ref="H98:H99"/>
    <mergeCell ref="I98:I99"/>
    <mergeCell ref="A100:A101"/>
    <mergeCell ref="C100:C101"/>
    <mergeCell ref="D100:D101"/>
    <mergeCell ref="E100:E101"/>
    <mergeCell ref="A98:A99"/>
    <mergeCell ref="C98:C99"/>
    <mergeCell ref="D98:D99"/>
    <mergeCell ref="E98:E99"/>
    <mergeCell ref="A104:L104"/>
    <mergeCell ref="M104:O104"/>
    <mergeCell ref="A105:L105"/>
    <mergeCell ref="M105:O105"/>
    <mergeCell ref="A102:A103"/>
    <mergeCell ref="C102:C103"/>
    <mergeCell ref="D102:D103"/>
    <mergeCell ref="E102:E103"/>
    <mergeCell ref="H102:H103"/>
    <mergeCell ref="I102:I103"/>
    <mergeCell ref="I108:I109"/>
    <mergeCell ref="A111:A112"/>
    <mergeCell ref="B111:B112"/>
    <mergeCell ref="C111:C112"/>
    <mergeCell ref="D111:D112"/>
    <mergeCell ref="E111:E112"/>
    <mergeCell ref="A108:A109"/>
    <mergeCell ref="B108:B109"/>
    <mergeCell ref="C108:C109"/>
    <mergeCell ref="D108:D109"/>
    <mergeCell ref="E108:E109"/>
    <mergeCell ref="H108:H109"/>
    <mergeCell ref="A113:A114"/>
    <mergeCell ref="B113:B114"/>
    <mergeCell ref="C113:C114"/>
    <mergeCell ref="D113:D114"/>
    <mergeCell ref="E113:E114"/>
    <mergeCell ref="H113:H114"/>
    <mergeCell ref="I113:I114"/>
    <mergeCell ref="H111:H112"/>
    <mergeCell ref="I111:I112"/>
    <mergeCell ref="M116:M117"/>
    <mergeCell ref="A118:A119"/>
    <mergeCell ref="B118:B119"/>
    <mergeCell ref="C118:C119"/>
    <mergeCell ref="D118:D119"/>
    <mergeCell ref="E118:E119"/>
    <mergeCell ref="F118:F119"/>
    <mergeCell ref="G118:G119"/>
    <mergeCell ref="H118:H119"/>
    <mergeCell ref="G116:G117"/>
    <mergeCell ref="H116:H117"/>
    <mergeCell ref="I116:I117"/>
    <mergeCell ref="J116:J117"/>
    <mergeCell ref="K116:K117"/>
    <mergeCell ref="L116:L117"/>
    <mergeCell ref="A116:A117"/>
    <mergeCell ref="B116:B117"/>
    <mergeCell ref="C116:C117"/>
    <mergeCell ref="D116:D117"/>
    <mergeCell ref="E116:E117"/>
    <mergeCell ref="F116:F117"/>
    <mergeCell ref="L120:L121"/>
    <mergeCell ref="A120:A121"/>
    <mergeCell ref="B120:B121"/>
    <mergeCell ref="C120:C121"/>
    <mergeCell ref="D120:D121"/>
    <mergeCell ref="E120:E121"/>
    <mergeCell ref="F120:F121"/>
    <mergeCell ref="I118:I119"/>
    <mergeCell ref="J118:J119"/>
    <mergeCell ref="K118:K119"/>
    <mergeCell ref="L118:L119"/>
    <mergeCell ref="I127:I128"/>
    <mergeCell ref="I129:I130"/>
    <mergeCell ref="A125:A130"/>
    <mergeCell ref="B125:B130"/>
    <mergeCell ref="C125:C130"/>
    <mergeCell ref="D125:D130"/>
    <mergeCell ref="E125:E130"/>
    <mergeCell ref="H125:H130"/>
    <mergeCell ref="I125:I126"/>
    <mergeCell ref="H131:H136"/>
    <mergeCell ref="I131:I132"/>
    <mergeCell ref="I133:I134"/>
    <mergeCell ref="I135:I136"/>
    <mergeCell ref="A131:A136"/>
    <mergeCell ref="B131:B136"/>
    <mergeCell ref="C131:C136"/>
    <mergeCell ref="D131:D136"/>
    <mergeCell ref="E131:E136"/>
    <mergeCell ref="H137:H142"/>
    <mergeCell ref="I137:I138"/>
    <mergeCell ref="I139:I140"/>
    <mergeCell ref="I141:I142"/>
    <mergeCell ref="A137:A142"/>
    <mergeCell ref="B137:B142"/>
    <mergeCell ref="C137:C142"/>
    <mergeCell ref="D137:D142"/>
    <mergeCell ref="E137:E142"/>
    <mergeCell ref="H143:H148"/>
    <mergeCell ref="I143:I144"/>
    <mergeCell ref="I145:I146"/>
    <mergeCell ref="I147:I148"/>
    <mergeCell ref="A143:A148"/>
    <mergeCell ref="B143:B148"/>
    <mergeCell ref="C143:C148"/>
    <mergeCell ref="D143:D148"/>
    <mergeCell ref="E143:E148"/>
    <mergeCell ref="I152:I153"/>
    <mergeCell ref="I154:I155"/>
    <mergeCell ref="A150:A155"/>
    <mergeCell ref="B150:B155"/>
    <mergeCell ref="C150:C155"/>
    <mergeCell ref="D150:D155"/>
    <mergeCell ref="E150:E155"/>
    <mergeCell ref="H150:H155"/>
    <mergeCell ref="I150:I151"/>
    <mergeCell ref="H160:H161"/>
    <mergeCell ref="I160:I161"/>
    <mergeCell ref="A160:A161"/>
    <mergeCell ref="B160:B161"/>
    <mergeCell ref="C160:C161"/>
    <mergeCell ref="D160:D161"/>
    <mergeCell ref="E160:E161"/>
    <mergeCell ref="A157:A158"/>
    <mergeCell ref="B157:B158"/>
    <mergeCell ref="C157:C158"/>
    <mergeCell ref="D157:D158"/>
    <mergeCell ref="E157:E158"/>
    <mergeCell ref="H157:H158"/>
    <mergeCell ref="I157:I158"/>
    <mergeCell ref="H164:H165"/>
    <mergeCell ref="I164:I165"/>
    <mergeCell ref="A164:A165"/>
    <mergeCell ref="B164:B165"/>
    <mergeCell ref="C164:C165"/>
    <mergeCell ref="D164:D165"/>
    <mergeCell ref="E164:E165"/>
    <mergeCell ref="H162:H163"/>
    <mergeCell ref="I162:I163"/>
    <mergeCell ref="A162:A163"/>
    <mergeCell ref="B162:B163"/>
    <mergeCell ref="C162:C163"/>
    <mergeCell ref="D162:D163"/>
    <mergeCell ref="E162:E163"/>
    <mergeCell ref="I168:I169"/>
    <mergeCell ref="A168:A169"/>
    <mergeCell ref="B168:B169"/>
    <mergeCell ref="C168:C169"/>
    <mergeCell ref="D168:D169"/>
    <mergeCell ref="E168:E169"/>
    <mergeCell ref="H166:H167"/>
    <mergeCell ref="I166:I167"/>
    <mergeCell ref="A166:A167"/>
    <mergeCell ref="B166:B167"/>
    <mergeCell ref="C166:C167"/>
    <mergeCell ref="D166:D167"/>
    <mergeCell ref="E166:E167"/>
    <mergeCell ref="L171:L172"/>
    <mergeCell ref="M171:M172"/>
    <mergeCell ref="A171:A172"/>
    <mergeCell ref="B171:B172"/>
    <mergeCell ref="C171:C172"/>
    <mergeCell ref="D171:D172"/>
    <mergeCell ref="E171:E172"/>
    <mergeCell ref="F171:F172"/>
    <mergeCell ref="G171:G172"/>
    <mergeCell ref="H171:H172"/>
    <mergeCell ref="I171:I172"/>
    <mergeCell ref="P1:V1"/>
    <mergeCell ref="M173:M174"/>
    <mergeCell ref="N173:N174"/>
    <mergeCell ref="O173:O174"/>
    <mergeCell ref="A175:L175"/>
    <mergeCell ref="M175:O175"/>
    <mergeCell ref="A176:L176"/>
    <mergeCell ref="M176:O176"/>
    <mergeCell ref="I173:I174"/>
    <mergeCell ref="J173:J174"/>
    <mergeCell ref="K173:K174"/>
    <mergeCell ref="L173:L174"/>
    <mergeCell ref="N171:N172"/>
    <mergeCell ref="O171:O172"/>
    <mergeCell ref="A173:A174"/>
    <mergeCell ref="B173:B174"/>
    <mergeCell ref="C173:C174"/>
    <mergeCell ref="D173:D174"/>
    <mergeCell ref="E173:E174"/>
    <mergeCell ref="F173:F174"/>
    <mergeCell ref="G173:G174"/>
    <mergeCell ref="H173:H174"/>
    <mergeCell ref="J171:J172"/>
    <mergeCell ref="K171:K172"/>
    <mergeCell ref="A170:V170"/>
    <mergeCell ref="Q120:Q121"/>
    <mergeCell ref="R120:R121"/>
    <mergeCell ref="S120:S121"/>
    <mergeCell ref="P122:P123"/>
    <mergeCell ref="Q122:Q123"/>
    <mergeCell ref="R122:R123"/>
    <mergeCell ref="S122:S123"/>
    <mergeCell ref="Q116:Q117"/>
    <mergeCell ref="R116:R117"/>
    <mergeCell ref="S116:S117"/>
    <mergeCell ref="P118:P119"/>
    <mergeCell ref="Q118:Q119"/>
    <mergeCell ref="R118:R119"/>
    <mergeCell ref="S118:S119"/>
    <mergeCell ref="N120:N121"/>
    <mergeCell ref="M122:M123"/>
    <mergeCell ref="N122:N123"/>
    <mergeCell ref="P116:P117"/>
    <mergeCell ref="P120:P121"/>
    <mergeCell ref="N116:N117"/>
    <mergeCell ref="M118:M119"/>
    <mergeCell ref="N118:N119"/>
    <mergeCell ref="H168:H169"/>
    <mergeCell ref="V2:V3"/>
    <mergeCell ref="V116:V117"/>
    <mergeCell ref="V118:V119"/>
    <mergeCell ref="V120:V121"/>
    <mergeCell ref="V122:V123"/>
    <mergeCell ref="A7:V7"/>
    <mergeCell ref="A8:V8"/>
    <mergeCell ref="A11:V11"/>
    <mergeCell ref="A14:V14"/>
    <mergeCell ref="T2:T3"/>
    <mergeCell ref="U2:U3"/>
    <mergeCell ref="A16:V16"/>
    <mergeCell ref="A35:V35"/>
    <mergeCell ref="A38:V38"/>
    <mergeCell ref="A41:V41"/>
    <mergeCell ref="A78:V78"/>
    <mergeCell ref="A23:V23"/>
    <mergeCell ref="P2:P3"/>
    <mergeCell ref="Q2:Q3"/>
    <mergeCell ref="R2:R3"/>
    <mergeCell ref="S2:S3"/>
    <mergeCell ref="I122:I123"/>
    <mergeCell ref="J122:J123"/>
    <mergeCell ref="K122:K123"/>
    <mergeCell ref="A83:V83"/>
    <mergeCell ref="A93:V93"/>
    <mergeCell ref="A107:V107"/>
    <mergeCell ref="A115:V115"/>
    <mergeCell ref="A124:V124"/>
    <mergeCell ref="T116:T117"/>
    <mergeCell ref="U116:U117"/>
    <mergeCell ref="T118:T119"/>
    <mergeCell ref="T120:T121"/>
    <mergeCell ref="L122:L123"/>
    <mergeCell ref="M120:M121"/>
    <mergeCell ref="A122:A123"/>
    <mergeCell ref="B122:B123"/>
    <mergeCell ref="C122:C123"/>
    <mergeCell ref="D122:D123"/>
    <mergeCell ref="E122:E123"/>
    <mergeCell ref="F122:F123"/>
    <mergeCell ref="G122:G123"/>
    <mergeCell ref="H122:H123"/>
    <mergeCell ref="G120:G121"/>
    <mergeCell ref="H120:H121"/>
    <mergeCell ref="I120:I121"/>
    <mergeCell ref="J120:J121"/>
    <mergeCell ref="K120:K121"/>
    <mergeCell ref="V171:V172"/>
    <mergeCell ref="U173:U174"/>
    <mergeCell ref="V173:V174"/>
    <mergeCell ref="A110:V110"/>
    <mergeCell ref="A106:V106"/>
    <mergeCell ref="P104:V105"/>
    <mergeCell ref="T122:T123"/>
    <mergeCell ref="U122:U123"/>
    <mergeCell ref="U118:U119"/>
    <mergeCell ref="U120:U121"/>
    <mergeCell ref="A149:V149"/>
    <mergeCell ref="A156:V156"/>
    <mergeCell ref="T171:T172"/>
    <mergeCell ref="T173:T174"/>
    <mergeCell ref="U171:U172"/>
    <mergeCell ref="P173:P174"/>
    <mergeCell ref="Q173:Q174"/>
    <mergeCell ref="R173:R174"/>
    <mergeCell ref="S173:S174"/>
    <mergeCell ref="P171:P172"/>
    <mergeCell ref="Q171:Q172"/>
    <mergeCell ref="R171:R172"/>
    <mergeCell ref="S171:S172"/>
    <mergeCell ref="A159:V159"/>
  </mergeCells>
  <conditionalFormatting sqref="V4:V174">
    <cfRule type="cellIs" dxfId="231" priority="1" operator="between">
      <formula>1</formula>
      <formula>4.9</formula>
    </cfRule>
    <cfRule type="cellIs" dxfId="230" priority="2" operator="between">
      <formula>0</formula>
      <formula>0.9999999999</formula>
    </cfRule>
    <cfRule type="cellIs" dxfId="229" priority="3"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5A52-7524-461F-B3B4-8F3263E2E2C4}">
  <sheetPr>
    <pageSetUpPr fitToPage="1"/>
  </sheetPr>
  <dimension ref="A1:AA71"/>
  <sheetViews>
    <sheetView topLeftCell="K1" zoomScale="107" zoomScaleNormal="100" workbookViewId="0">
      <selection activeCell="X11" sqref="X11"/>
    </sheetView>
  </sheetViews>
  <sheetFormatPr defaultRowHeight="13.2" x14ac:dyDescent="0.25"/>
  <cols>
    <col min="1" max="1" width="9" style="1" bestFit="1" customWidth="1"/>
    <col min="2" max="5" width="8.88671875" style="1"/>
    <col min="6" max="7" width="9" style="1" bestFit="1" customWidth="1"/>
    <col min="8" max="9" width="8.88671875" style="1"/>
    <col min="10" max="10" width="11.44140625" style="1" bestFit="1" customWidth="1"/>
    <col min="11" max="11" width="8.88671875" style="1"/>
    <col min="12" max="12" width="9" style="1" bestFit="1" customWidth="1"/>
    <col min="13" max="15" width="8.88671875" style="1"/>
    <col min="16" max="17" width="9" style="1" bestFit="1" customWidth="1"/>
    <col min="18" max="18" width="11.44140625" style="1" bestFit="1" customWidth="1"/>
    <col min="19" max="22" width="9" style="1" bestFit="1" customWidth="1"/>
    <col min="23" max="23" width="20.5546875" style="1" bestFit="1" customWidth="1"/>
    <col min="24" max="25" width="8.88671875" style="1"/>
    <col min="26" max="27" width="20.44140625" style="1" customWidth="1"/>
    <col min="28" max="16384" width="8.88671875" style="1"/>
  </cols>
  <sheetData>
    <row r="1" spans="1:27" ht="13.8" thickBot="1" x14ac:dyDescent="0.3">
      <c r="A1" s="582" t="s">
        <v>306</v>
      </c>
      <c r="B1" s="583"/>
      <c r="C1" s="583"/>
      <c r="D1" s="583"/>
      <c r="E1" s="583"/>
      <c r="F1" s="583"/>
      <c r="G1" s="583"/>
      <c r="H1" s="583"/>
      <c r="I1" s="583"/>
      <c r="J1" s="583"/>
      <c r="K1" s="583"/>
      <c r="L1" s="583"/>
      <c r="M1" s="586" t="s">
        <v>8</v>
      </c>
      <c r="N1" s="586"/>
      <c r="O1" s="586"/>
      <c r="P1" s="585" t="s">
        <v>134</v>
      </c>
      <c r="Q1" s="586"/>
      <c r="R1" s="586"/>
      <c r="S1" s="586"/>
      <c r="T1" s="586"/>
      <c r="U1" s="586"/>
      <c r="V1" s="586"/>
      <c r="W1" s="586"/>
      <c r="X1" s="586"/>
      <c r="Y1" s="586"/>
      <c r="Z1" s="586"/>
      <c r="AA1" s="587"/>
    </row>
    <row r="2" spans="1:27" x14ac:dyDescent="0.25">
      <c r="A2" s="516" t="s">
        <v>135</v>
      </c>
      <c r="B2" s="523"/>
      <c r="C2" s="764"/>
      <c r="D2" s="516" t="s">
        <v>136</v>
      </c>
      <c r="E2" s="523"/>
      <c r="F2" s="523"/>
      <c r="G2" s="523"/>
      <c r="H2" s="523"/>
      <c r="I2" s="523"/>
      <c r="J2" s="523"/>
      <c r="K2" s="523"/>
      <c r="L2" s="523"/>
      <c r="M2" s="493" t="s">
        <v>1</v>
      </c>
      <c r="N2" s="493" t="s">
        <v>3</v>
      </c>
      <c r="O2" s="765" t="s">
        <v>1</v>
      </c>
      <c r="P2" s="593" t="s">
        <v>132</v>
      </c>
      <c r="Q2" s="593" t="s">
        <v>133</v>
      </c>
      <c r="R2" s="576" t="s">
        <v>131</v>
      </c>
      <c r="S2" s="578" t="s">
        <v>302</v>
      </c>
      <c r="T2" s="580" t="s">
        <v>303</v>
      </c>
      <c r="U2" s="572" t="s">
        <v>304</v>
      </c>
      <c r="V2" s="572" t="s">
        <v>305</v>
      </c>
      <c r="W2" s="572" t="s">
        <v>465</v>
      </c>
      <c r="X2" s="572" t="s">
        <v>470</v>
      </c>
      <c r="Y2" s="574" t="s">
        <v>467</v>
      </c>
      <c r="Z2" s="595" t="s">
        <v>468</v>
      </c>
      <c r="AA2" s="596"/>
    </row>
    <row r="3" spans="1:27" ht="34.799999999999997" thickBot="1" x14ac:dyDescent="0.3">
      <c r="A3" s="44" t="s">
        <v>290</v>
      </c>
      <c r="B3" s="4" t="s">
        <v>137</v>
      </c>
      <c r="C3" s="4" t="s">
        <v>138</v>
      </c>
      <c r="D3" s="4" t="s">
        <v>139</v>
      </c>
      <c r="E3" s="4" t="s">
        <v>140</v>
      </c>
      <c r="F3" s="44" t="s">
        <v>291</v>
      </c>
      <c r="G3" s="44" t="s">
        <v>292</v>
      </c>
      <c r="H3" s="4" t="s">
        <v>141</v>
      </c>
      <c r="I3" s="4" t="s">
        <v>142</v>
      </c>
      <c r="J3" s="165" t="s">
        <v>143</v>
      </c>
      <c r="K3" s="4" t="s">
        <v>144</v>
      </c>
      <c r="L3" s="7" t="s">
        <v>145</v>
      </c>
      <c r="M3" s="493"/>
      <c r="N3" s="493"/>
      <c r="O3" s="765"/>
      <c r="P3" s="594"/>
      <c r="Q3" s="594"/>
      <c r="R3" s="577"/>
      <c r="S3" s="579"/>
      <c r="T3" s="581"/>
      <c r="U3" s="573"/>
      <c r="V3" s="573"/>
      <c r="W3" s="573"/>
      <c r="X3" s="573"/>
      <c r="Y3" s="575"/>
      <c r="Z3" s="597"/>
      <c r="AA3" s="598"/>
    </row>
    <row r="4" spans="1:27" ht="16.8" x14ac:dyDescent="0.25">
      <c r="A4" s="92">
        <v>1</v>
      </c>
      <c r="B4" s="55" t="s">
        <v>117</v>
      </c>
      <c r="C4" s="55" t="s">
        <v>117</v>
      </c>
      <c r="D4" s="55" t="s">
        <v>36</v>
      </c>
      <c r="E4" s="55" t="s">
        <v>19</v>
      </c>
      <c r="F4" s="92">
        <v>2.5</v>
      </c>
      <c r="G4" s="92">
        <v>7.86</v>
      </c>
      <c r="H4" s="55" t="s">
        <v>117</v>
      </c>
      <c r="I4" s="55" t="s">
        <v>117</v>
      </c>
      <c r="J4" s="166" t="s">
        <v>117</v>
      </c>
      <c r="K4" s="55" t="s">
        <v>117</v>
      </c>
      <c r="L4" s="55" t="s">
        <v>117</v>
      </c>
      <c r="M4" s="167" t="s">
        <v>2</v>
      </c>
      <c r="N4" s="167" t="s">
        <v>4</v>
      </c>
      <c r="O4" s="167" t="s">
        <v>4</v>
      </c>
      <c r="P4" s="168">
        <v>17.384</v>
      </c>
      <c r="Q4" s="168">
        <v>17.37</v>
      </c>
      <c r="R4" s="169" t="s">
        <v>117</v>
      </c>
      <c r="S4" s="170" t="s">
        <v>117</v>
      </c>
      <c r="T4" s="171">
        <f>P4-Q4</f>
        <v>1.3999999999999346E-2</v>
      </c>
      <c r="U4" s="171"/>
      <c r="V4" s="172" t="s">
        <v>117</v>
      </c>
      <c r="W4" s="172" t="s">
        <v>117</v>
      </c>
      <c r="X4" s="173" t="s">
        <v>117</v>
      </c>
      <c r="Y4" s="174" t="s">
        <v>117</v>
      </c>
      <c r="Z4" s="174" t="s">
        <v>117</v>
      </c>
      <c r="AA4" s="174" t="s">
        <v>117</v>
      </c>
    </row>
    <row r="5" spans="1:27" x14ac:dyDescent="0.25">
      <c r="A5" s="92">
        <v>2</v>
      </c>
      <c r="B5" s="55" t="s">
        <v>117</v>
      </c>
      <c r="C5" s="55" t="s">
        <v>117</v>
      </c>
      <c r="D5" s="55" t="s">
        <v>89</v>
      </c>
      <c r="E5" s="55" t="s">
        <v>19</v>
      </c>
      <c r="F5" s="92">
        <v>5.2</v>
      </c>
      <c r="G5" s="92">
        <v>7.86</v>
      </c>
      <c r="H5" s="55" t="s">
        <v>117</v>
      </c>
      <c r="I5" s="55" t="s">
        <v>117</v>
      </c>
      <c r="J5" s="166" t="s">
        <v>117</v>
      </c>
      <c r="K5" s="55" t="s">
        <v>117</v>
      </c>
      <c r="L5" s="55" t="s">
        <v>117</v>
      </c>
      <c r="M5" s="167" t="s">
        <v>2</v>
      </c>
      <c r="N5" s="167" t="s">
        <v>4</v>
      </c>
      <c r="O5" s="167" t="s">
        <v>4</v>
      </c>
      <c r="P5" s="93">
        <v>36.786999999999999</v>
      </c>
      <c r="Q5" s="93">
        <v>36.777000000000001</v>
      </c>
      <c r="R5" s="166" t="s">
        <v>117</v>
      </c>
      <c r="S5" s="102" t="s">
        <v>117</v>
      </c>
      <c r="T5" s="175">
        <f t="shared" ref="T5:T6" si="0">P5-Q5</f>
        <v>9.9999999999980105E-3</v>
      </c>
      <c r="U5" s="175"/>
      <c r="V5" s="176" t="s">
        <v>117</v>
      </c>
      <c r="W5" s="176" t="s">
        <v>117</v>
      </c>
      <c r="X5" s="177" t="s">
        <v>117</v>
      </c>
      <c r="Y5" s="178" t="s">
        <v>117</v>
      </c>
      <c r="Z5" s="178" t="s">
        <v>117</v>
      </c>
      <c r="AA5" s="178" t="s">
        <v>117</v>
      </c>
    </row>
    <row r="6" spans="1:27" ht="13.8" thickBot="1" x14ac:dyDescent="0.3">
      <c r="A6" s="95">
        <v>3</v>
      </c>
      <c r="B6" s="85" t="s">
        <v>117</v>
      </c>
      <c r="C6" s="85" t="s">
        <v>117</v>
      </c>
      <c r="D6" s="85" t="s">
        <v>46</v>
      </c>
      <c r="E6" s="85" t="s">
        <v>19</v>
      </c>
      <c r="F6" s="95">
        <v>3.4</v>
      </c>
      <c r="G6" s="95">
        <v>7.86</v>
      </c>
      <c r="H6" s="85" t="s">
        <v>117</v>
      </c>
      <c r="I6" s="85" t="s">
        <v>117</v>
      </c>
      <c r="J6" s="179" t="s">
        <v>117</v>
      </c>
      <c r="K6" s="85" t="s">
        <v>117</v>
      </c>
      <c r="L6" s="85" t="s">
        <v>117</v>
      </c>
      <c r="M6" s="180" t="s">
        <v>2</v>
      </c>
      <c r="N6" s="180" t="s">
        <v>4</v>
      </c>
      <c r="O6" s="180" t="s">
        <v>4</v>
      </c>
      <c r="P6" s="96">
        <v>24.774999999999999</v>
      </c>
      <c r="Q6" s="96">
        <v>24.763999999999999</v>
      </c>
      <c r="R6" s="179" t="s">
        <v>117</v>
      </c>
      <c r="S6" s="103" t="s">
        <v>117</v>
      </c>
      <c r="T6" s="181">
        <f t="shared" si="0"/>
        <v>1.0999999999999233E-2</v>
      </c>
      <c r="U6" s="181"/>
      <c r="V6" s="176" t="s">
        <v>117</v>
      </c>
      <c r="W6" s="182" t="s">
        <v>117</v>
      </c>
      <c r="X6" s="183" t="s">
        <v>117</v>
      </c>
      <c r="Y6" s="184" t="s">
        <v>117</v>
      </c>
      <c r="Z6" s="184" t="s">
        <v>117</v>
      </c>
      <c r="AA6" s="184" t="s">
        <v>117</v>
      </c>
    </row>
    <row r="7" spans="1:27" ht="13.8" thickBot="1" x14ac:dyDescent="0.3">
      <c r="A7" s="416" t="s">
        <v>475</v>
      </c>
      <c r="B7" s="417"/>
      <c r="C7" s="417"/>
      <c r="D7" s="417"/>
      <c r="E7" s="417"/>
      <c r="F7" s="417"/>
      <c r="G7" s="417"/>
      <c r="H7" s="417"/>
      <c r="I7" s="417"/>
      <c r="J7" s="417"/>
      <c r="K7" s="417"/>
      <c r="L7" s="417"/>
      <c r="M7" s="417"/>
      <c r="N7" s="417"/>
      <c r="O7" s="417"/>
      <c r="P7" s="417"/>
      <c r="Q7" s="417"/>
      <c r="R7" s="417"/>
      <c r="S7" s="417"/>
      <c r="T7" s="417"/>
      <c r="U7" s="417"/>
      <c r="V7" s="417"/>
      <c r="W7" s="417"/>
      <c r="X7" s="417"/>
      <c r="Y7" s="417"/>
      <c r="Z7" s="417"/>
      <c r="AA7" s="418"/>
    </row>
    <row r="8" spans="1:27" ht="14.4" customHeight="1" thickBot="1" x14ac:dyDescent="0.3">
      <c r="A8" s="416" t="s">
        <v>478</v>
      </c>
      <c r="B8" s="417"/>
      <c r="C8" s="417"/>
      <c r="D8" s="417"/>
      <c r="E8" s="417"/>
      <c r="F8" s="417"/>
      <c r="G8" s="417"/>
      <c r="H8" s="417"/>
      <c r="I8" s="417"/>
      <c r="J8" s="196"/>
      <c r="K8" s="196"/>
      <c r="L8" s="196"/>
      <c r="M8" s="196"/>
      <c r="N8" s="196"/>
      <c r="O8" s="196"/>
      <c r="P8" s="196"/>
      <c r="Q8" s="196"/>
      <c r="R8" s="196"/>
      <c r="S8" s="196"/>
      <c r="T8" s="196"/>
      <c r="U8" s="196"/>
      <c r="V8" s="196"/>
      <c r="W8" s="196"/>
      <c r="X8" s="196"/>
      <c r="Y8" s="196"/>
      <c r="Z8" s="196"/>
      <c r="AA8" s="197"/>
    </row>
    <row r="9" spans="1:27" x14ac:dyDescent="0.25">
      <c r="A9" s="402">
        <v>1</v>
      </c>
      <c r="B9" s="403" t="s">
        <v>484</v>
      </c>
      <c r="C9" s="404" t="s">
        <v>12</v>
      </c>
      <c r="D9" s="404"/>
      <c r="E9" s="405"/>
      <c r="F9" s="62"/>
      <c r="G9" s="62"/>
      <c r="H9" s="405"/>
      <c r="I9" s="405"/>
      <c r="J9" s="57"/>
      <c r="K9" s="56"/>
      <c r="L9" s="58"/>
      <c r="M9" s="398" t="s">
        <v>123</v>
      </c>
      <c r="N9" s="398" t="s">
        <v>124</v>
      </c>
      <c r="O9" s="563" t="s">
        <v>120</v>
      </c>
      <c r="P9" s="185"/>
      <c r="Q9" s="185"/>
      <c r="R9" s="186"/>
      <c r="S9" s="177">
        <f t="shared" ref="S9:S10" si="1">R9-J9</f>
        <v>0</v>
      </c>
      <c r="T9" s="171">
        <f t="shared" ref="T9:T10" si="2">L9-Q9</f>
        <v>0</v>
      </c>
      <c r="U9" s="175">
        <f t="shared" ref="U9:U10" si="3">T9-0.01</f>
        <v>-0.01</v>
      </c>
      <c r="V9" s="176"/>
      <c r="W9" s="201"/>
      <c r="X9" s="201"/>
      <c r="Y9" s="201"/>
      <c r="Z9" s="201"/>
      <c r="AA9" s="201"/>
    </row>
    <row r="10" spans="1:27" x14ac:dyDescent="0.25">
      <c r="A10" s="406"/>
      <c r="B10" s="365"/>
      <c r="C10" s="407"/>
      <c r="D10" s="385"/>
      <c r="E10" s="407"/>
      <c r="F10" s="56"/>
      <c r="G10" s="56"/>
      <c r="H10" s="407"/>
      <c r="I10" s="407"/>
      <c r="J10" s="57"/>
      <c r="K10" s="56"/>
      <c r="L10" s="58"/>
      <c r="M10" s="398"/>
      <c r="N10" s="398"/>
      <c r="O10" s="563"/>
      <c r="P10" s="188"/>
      <c r="Q10" s="188"/>
      <c r="R10" s="186"/>
      <c r="S10" s="183">
        <f t="shared" si="1"/>
        <v>0</v>
      </c>
      <c r="T10" s="171">
        <f t="shared" si="2"/>
        <v>0</v>
      </c>
      <c r="U10" s="181">
        <f t="shared" si="3"/>
        <v>-0.01</v>
      </c>
      <c r="V10" s="182"/>
      <c r="W10" s="201"/>
      <c r="X10" s="201"/>
      <c r="Y10" s="201"/>
      <c r="Z10" s="201"/>
      <c r="AA10" s="201"/>
    </row>
    <row r="11" spans="1:27" x14ac:dyDescent="0.25">
      <c r="A11" s="402">
        <v>2</v>
      </c>
      <c r="B11" s="403" t="s">
        <v>485</v>
      </c>
      <c r="C11" s="404" t="s">
        <v>12</v>
      </c>
      <c r="D11" s="404" t="s">
        <v>89</v>
      </c>
      <c r="E11" s="405" t="s">
        <v>19</v>
      </c>
      <c r="F11" s="56">
        <v>5.2</v>
      </c>
      <c r="G11" s="56">
        <v>7.86</v>
      </c>
      <c r="H11" s="405" t="s">
        <v>477</v>
      </c>
      <c r="I11" s="405" t="s">
        <v>14</v>
      </c>
      <c r="J11" s="189">
        <v>45025</v>
      </c>
      <c r="K11" s="57" t="s">
        <v>511</v>
      </c>
      <c r="L11" s="58">
        <v>36.781500000000001</v>
      </c>
      <c r="M11" s="167" t="s">
        <v>2</v>
      </c>
      <c r="N11" s="167" t="s">
        <v>4</v>
      </c>
      <c r="O11" s="167" t="s">
        <v>4</v>
      </c>
      <c r="P11" s="185">
        <v>30.975000000000001</v>
      </c>
      <c r="Q11" s="185">
        <v>28.125</v>
      </c>
      <c r="R11" s="186">
        <v>45931</v>
      </c>
      <c r="S11" s="177">
        <f>R11-J11</f>
        <v>906</v>
      </c>
      <c r="T11" s="171">
        <f t="shared" ref="T11:T26" si="4">L11-Q11</f>
        <v>8.6565000000000012</v>
      </c>
      <c r="U11" s="175">
        <f t="shared" ref="U11:U26" si="5">T11-0.01</f>
        <v>8.6465000000000014</v>
      </c>
      <c r="V11" s="176">
        <f>(U11*22270)/(S11*G11*F11)</f>
        <v>5.2000374992924669</v>
      </c>
      <c r="W11" s="201" t="s">
        <v>562</v>
      </c>
      <c r="X11" s="201">
        <v>0.88</v>
      </c>
      <c r="Y11" s="201">
        <f>((X11*365)/S11)*39.4</f>
        <v>13.96830022075055</v>
      </c>
      <c r="Z11" s="755" t="s">
        <v>571</v>
      </c>
      <c r="AA11" s="755"/>
    </row>
    <row r="12" spans="1:27" x14ac:dyDescent="0.25">
      <c r="A12" s="406"/>
      <c r="B12" s="365"/>
      <c r="C12" s="407"/>
      <c r="D12" s="385"/>
      <c r="E12" s="407"/>
      <c r="F12" s="56">
        <v>5.2</v>
      </c>
      <c r="G12" s="56">
        <v>7.86</v>
      </c>
      <c r="H12" s="407"/>
      <c r="I12" s="407"/>
      <c r="J12" s="189">
        <v>45025</v>
      </c>
      <c r="K12" s="57" t="s">
        <v>512</v>
      </c>
      <c r="L12" s="58">
        <v>36.883800000000001</v>
      </c>
      <c r="M12" s="167" t="s">
        <v>2</v>
      </c>
      <c r="N12" s="167" t="s">
        <v>4</v>
      </c>
      <c r="O12" s="167" t="s">
        <v>4</v>
      </c>
      <c r="P12" s="188">
        <v>31.207999999999998</v>
      </c>
      <c r="Q12" s="188">
        <v>29.234000000000002</v>
      </c>
      <c r="R12" s="186">
        <v>45931</v>
      </c>
      <c r="S12" s="177">
        <f t="shared" ref="S12:S26" si="6">R12-J12</f>
        <v>906</v>
      </c>
      <c r="T12" s="171">
        <f t="shared" si="4"/>
        <v>7.649799999999999</v>
      </c>
      <c r="U12" s="181">
        <f t="shared" si="5"/>
        <v>7.6397999999999993</v>
      </c>
      <c r="V12" s="182">
        <f t="shared" ref="V12:V26" si="7">(U12*22270)/(S12*G12*F12)</f>
        <v>4.5946043470877909</v>
      </c>
      <c r="W12" s="201" t="s">
        <v>562</v>
      </c>
      <c r="X12" s="201">
        <v>0.67</v>
      </c>
      <c r="Y12" s="201">
        <f t="shared" ref="Y12:Y26" si="8">((X12*365)/S12)*39.4</f>
        <v>10.634955849889625</v>
      </c>
      <c r="Z12" s="755" t="s">
        <v>571</v>
      </c>
      <c r="AA12" s="755"/>
    </row>
    <row r="13" spans="1:27" x14ac:dyDescent="0.25">
      <c r="A13" s="402">
        <v>3</v>
      </c>
      <c r="B13" s="403" t="s">
        <v>486</v>
      </c>
      <c r="C13" s="404" t="s">
        <v>12</v>
      </c>
      <c r="D13" s="404" t="s">
        <v>89</v>
      </c>
      <c r="E13" s="405" t="s">
        <v>19</v>
      </c>
      <c r="F13" s="56">
        <v>5.2</v>
      </c>
      <c r="G13" s="56">
        <v>7.86</v>
      </c>
      <c r="H13" s="405" t="s">
        <v>477</v>
      </c>
      <c r="I13" s="405" t="s">
        <v>14</v>
      </c>
      <c r="J13" s="189">
        <v>45025</v>
      </c>
      <c r="K13" s="57" t="s">
        <v>513</v>
      </c>
      <c r="L13" s="58">
        <v>37.103400000000001</v>
      </c>
      <c r="M13" s="167" t="s">
        <v>2</v>
      </c>
      <c r="N13" s="167" t="s">
        <v>4</v>
      </c>
      <c r="O13" s="167" t="s">
        <v>4</v>
      </c>
      <c r="P13" s="185">
        <v>36.853000000000002</v>
      </c>
      <c r="Q13" s="185">
        <v>35.914999999999999</v>
      </c>
      <c r="R13" s="186">
        <v>45931</v>
      </c>
      <c r="S13" s="177">
        <f t="shared" si="6"/>
        <v>906</v>
      </c>
      <c r="T13" s="171">
        <f t="shared" si="4"/>
        <v>1.1884000000000015</v>
      </c>
      <c r="U13" s="175">
        <f t="shared" si="5"/>
        <v>1.1784000000000014</v>
      </c>
      <c r="V13" s="176">
        <f t="shared" si="7"/>
        <v>0.70869417558159375</v>
      </c>
      <c r="W13" s="201"/>
      <c r="X13" s="201"/>
      <c r="Y13" s="201"/>
      <c r="Z13" s="201"/>
      <c r="AA13" s="201"/>
    </row>
    <row r="14" spans="1:27" x14ac:dyDescent="0.25">
      <c r="A14" s="406"/>
      <c r="B14" s="365"/>
      <c r="C14" s="407"/>
      <c r="D14" s="385"/>
      <c r="E14" s="407"/>
      <c r="F14" s="60">
        <v>5.2</v>
      </c>
      <c r="G14" s="60">
        <v>7.86</v>
      </c>
      <c r="H14" s="407"/>
      <c r="I14" s="407"/>
      <c r="J14" s="189">
        <v>45025</v>
      </c>
      <c r="K14" s="57" t="s">
        <v>514</v>
      </c>
      <c r="L14" s="58">
        <v>37.002400000000002</v>
      </c>
      <c r="M14" s="167" t="s">
        <v>2</v>
      </c>
      <c r="N14" s="167" t="s">
        <v>4</v>
      </c>
      <c r="O14" s="167" t="s">
        <v>4</v>
      </c>
      <c r="P14" s="188">
        <v>36.603000000000002</v>
      </c>
      <c r="Q14" s="188">
        <v>35.661000000000001</v>
      </c>
      <c r="R14" s="186">
        <v>45931</v>
      </c>
      <c r="S14" s="177">
        <f t="shared" si="6"/>
        <v>906</v>
      </c>
      <c r="T14" s="171">
        <f t="shared" si="4"/>
        <v>1.3414000000000001</v>
      </c>
      <c r="U14" s="181">
        <f t="shared" si="5"/>
        <v>1.3314000000000001</v>
      </c>
      <c r="V14" s="182">
        <f t="shared" si="7"/>
        <v>0.8007089488877569</v>
      </c>
      <c r="W14" s="201"/>
      <c r="X14" s="201"/>
      <c r="Y14" s="201"/>
      <c r="Z14" s="201"/>
      <c r="AA14" s="201"/>
    </row>
    <row r="15" spans="1:27" x14ac:dyDescent="0.25">
      <c r="A15" s="402">
        <v>4</v>
      </c>
      <c r="B15" s="403" t="s">
        <v>487</v>
      </c>
      <c r="C15" s="404" t="s">
        <v>12</v>
      </c>
      <c r="D15" s="404" t="s">
        <v>89</v>
      </c>
      <c r="E15" s="405" t="s">
        <v>19</v>
      </c>
      <c r="F15" s="56">
        <v>5.2</v>
      </c>
      <c r="G15" s="56">
        <v>7.86</v>
      </c>
      <c r="H15" s="405" t="s">
        <v>477</v>
      </c>
      <c r="I15" s="405" t="s">
        <v>14</v>
      </c>
      <c r="J15" s="189">
        <v>45026</v>
      </c>
      <c r="K15" s="57" t="s">
        <v>515</v>
      </c>
      <c r="L15" s="58">
        <v>36.995800000000003</v>
      </c>
      <c r="M15" s="167" t="s">
        <v>2</v>
      </c>
      <c r="N15" s="167" t="s">
        <v>4</v>
      </c>
      <c r="O15" s="167" t="s">
        <v>4</v>
      </c>
      <c r="P15" s="185">
        <v>33.195999999999998</v>
      </c>
      <c r="Q15" s="185">
        <v>31.774000000000001</v>
      </c>
      <c r="R15" s="186">
        <v>45931</v>
      </c>
      <c r="S15" s="177">
        <f t="shared" si="6"/>
        <v>905</v>
      </c>
      <c r="T15" s="171">
        <f t="shared" si="4"/>
        <v>5.2218000000000018</v>
      </c>
      <c r="U15" s="175">
        <f t="shared" si="5"/>
        <v>5.211800000000002</v>
      </c>
      <c r="V15" s="176">
        <f t="shared" si="7"/>
        <v>3.1378594701799134</v>
      </c>
      <c r="W15" s="201" t="s">
        <v>563</v>
      </c>
      <c r="X15" s="201">
        <v>0.82</v>
      </c>
      <c r="Y15" s="201">
        <f t="shared" si="8"/>
        <v>13.030298342541435</v>
      </c>
      <c r="Z15" s="201"/>
      <c r="AA15" s="201"/>
    </row>
    <row r="16" spans="1:27" x14ac:dyDescent="0.25">
      <c r="A16" s="406"/>
      <c r="B16" s="365"/>
      <c r="C16" s="407"/>
      <c r="D16" s="385"/>
      <c r="E16" s="407"/>
      <c r="F16" s="56">
        <v>5.2</v>
      </c>
      <c r="G16" s="56">
        <v>7.86</v>
      </c>
      <c r="H16" s="407"/>
      <c r="I16" s="407"/>
      <c r="J16" s="189">
        <v>45026</v>
      </c>
      <c r="K16" s="57" t="s">
        <v>516</v>
      </c>
      <c r="L16" s="58">
        <v>36.997300000000003</v>
      </c>
      <c r="M16" s="167" t="s">
        <v>2</v>
      </c>
      <c r="N16" s="167" t="s">
        <v>4</v>
      </c>
      <c r="O16" s="167" t="s">
        <v>4</v>
      </c>
      <c r="P16" s="188">
        <v>34.261000000000003</v>
      </c>
      <c r="Q16" s="188">
        <v>32.944000000000003</v>
      </c>
      <c r="R16" s="186">
        <v>45931</v>
      </c>
      <c r="S16" s="177">
        <f t="shared" si="6"/>
        <v>905</v>
      </c>
      <c r="T16" s="171">
        <f t="shared" si="4"/>
        <v>4.0533000000000001</v>
      </c>
      <c r="U16" s="181">
        <f t="shared" si="5"/>
        <v>4.0433000000000003</v>
      </c>
      <c r="V16" s="182">
        <f t="shared" si="7"/>
        <v>2.4343426830995893</v>
      </c>
      <c r="W16" s="201" t="s">
        <v>563</v>
      </c>
      <c r="X16" s="201">
        <v>0.97</v>
      </c>
      <c r="Y16" s="201">
        <f t="shared" si="8"/>
        <v>15.413889502762432</v>
      </c>
      <c r="Z16" s="201"/>
      <c r="AA16" s="201"/>
    </row>
    <row r="17" spans="1:27" x14ac:dyDescent="0.25">
      <c r="A17" s="402">
        <v>5</v>
      </c>
      <c r="B17" s="403" t="s">
        <v>488</v>
      </c>
      <c r="C17" s="404" t="s">
        <v>12</v>
      </c>
      <c r="D17" s="404"/>
      <c r="E17" s="405"/>
      <c r="F17" s="62"/>
      <c r="G17" s="62"/>
      <c r="H17" s="405"/>
      <c r="I17" s="405"/>
      <c r="J17" s="189"/>
      <c r="K17" s="57"/>
      <c r="L17" s="58"/>
      <c r="M17" s="398" t="s">
        <v>123</v>
      </c>
      <c r="N17" s="398" t="s">
        <v>124</v>
      </c>
      <c r="O17" s="563" t="s">
        <v>120</v>
      </c>
      <c r="P17" s="185"/>
      <c r="Q17" s="185"/>
      <c r="R17" s="186"/>
      <c r="S17" s="177">
        <f t="shared" si="6"/>
        <v>0</v>
      </c>
      <c r="T17" s="171">
        <f t="shared" si="4"/>
        <v>0</v>
      </c>
      <c r="U17" s="175">
        <f t="shared" si="5"/>
        <v>-0.01</v>
      </c>
      <c r="V17" s="176"/>
      <c r="W17" s="201"/>
      <c r="X17" s="201"/>
      <c r="Y17" s="201"/>
      <c r="Z17" s="201"/>
      <c r="AA17" s="201"/>
    </row>
    <row r="18" spans="1:27" x14ac:dyDescent="0.25">
      <c r="A18" s="406"/>
      <c r="B18" s="365"/>
      <c r="C18" s="407"/>
      <c r="D18" s="385"/>
      <c r="E18" s="407"/>
      <c r="F18" s="60"/>
      <c r="G18" s="60"/>
      <c r="H18" s="407"/>
      <c r="I18" s="407"/>
      <c r="J18" s="189"/>
      <c r="K18" s="57"/>
      <c r="L18" s="58"/>
      <c r="M18" s="398"/>
      <c r="N18" s="398"/>
      <c r="O18" s="563"/>
      <c r="P18" s="188"/>
      <c r="Q18" s="188"/>
      <c r="R18" s="186"/>
      <c r="S18" s="177">
        <f t="shared" si="6"/>
        <v>0</v>
      </c>
      <c r="T18" s="171">
        <f t="shared" si="4"/>
        <v>0</v>
      </c>
      <c r="U18" s="181">
        <f t="shared" si="5"/>
        <v>-0.01</v>
      </c>
      <c r="V18" s="182"/>
      <c r="W18" s="201"/>
      <c r="X18" s="201"/>
      <c r="Y18" s="201"/>
      <c r="Z18" s="201"/>
      <c r="AA18" s="201"/>
    </row>
    <row r="19" spans="1:27" x14ac:dyDescent="0.25">
      <c r="A19" s="402">
        <v>6</v>
      </c>
      <c r="B19" s="403" t="s">
        <v>489</v>
      </c>
      <c r="C19" s="404" t="s">
        <v>12</v>
      </c>
      <c r="D19" s="404" t="s">
        <v>89</v>
      </c>
      <c r="E19" s="405" t="s">
        <v>19</v>
      </c>
      <c r="F19" s="56">
        <v>5.2</v>
      </c>
      <c r="G19" s="56">
        <v>7.86</v>
      </c>
      <c r="H19" s="405" t="s">
        <v>477</v>
      </c>
      <c r="I19" s="405" t="s">
        <v>14</v>
      </c>
      <c r="J19" s="189">
        <v>45025</v>
      </c>
      <c r="K19" s="57" t="s">
        <v>517</v>
      </c>
      <c r="L19" s="58">
        <v>37.003300000000003</v>
      </c>
      <c r="M19" s="167" t="s">
        <v>2</v>
      </c>
      <c r="N19" s="167" t="s">
        <v>4</v>
      </c>
      <c r="O19" s="167" t="s">
        <v>4</v>
      </c>
      <c r="P19" s="185">
        <v>38.399000000000001</v>
      </c>
      <c r="Q19" s="185">
        <v>33.485999999999997</v>
      </c>
      <c r="R19" s="186">
        <v>45931</v>
      </c>
      <c r="S19" s="177">
        <f t="shared" si="6"/>
        <v>906</v>
      </c>
      <c r="T19" s="171">
        <f t="shared" si="4"/>
        <v>3.5173000000000059</v>
      </c>
      <c r="U19" s="175">
        <f t="shared" si="5"/>
        <v>3.5073000000000061</v>
      </c>
      <c r="V19" s="176">
        <f t="shared" si="7"/>
        <v>2.1093033622007171</v>
      </c>
      <c r="W19" s="201" t="s">
        <v>562</v>
      </c>
      <c r="X19" s="201">
        <v>30</v>
      </c>
      <c r="Y19" s="201">
        <f t="shared" si="8"/>
        <v>476.19205298013242</v>
      </c>
      <c r="Z19" s="754" t="s">
        <v>570</v>
      </c>
      <c r="AA19" s="754"/>
    </row>
    <row r="20" spans="1:27" x14ac:dyDescent="0.25">
      <c r="A20" s="406"/>
      <c r="B20" s="365"/>
      <c r="C20" s="407"/>
      <c r="D20" s="385"/>
      <c r="E20" s="407"/>
      <c r="F20" s="56">
        <v>5.2</v>
      </c>
      <c r="G20" s="56">
        <v>7.86</v>
      </c>
      <c r="H20" s="407"/>
      <c r="I20" s="407"/>
      <c r="J20" s="189">
        <v>45025</v>
      </c>
      <c r="K20" s="57" t="s">
        <v>518</v>
      </c>
      <c r="L20" s="58">
        <v>37.013800000000003</v>
      </c>
      <c r="M20" s="167" t="s">
        <v>2</v>
      </c>
      <c r="N20" s="167" t="s">
        <v>4</v>
      </c>
      <c r="O20" s="167" t="s">
        <v>4</v>
      </c>
      <c r="P20" s="188">
        <v>38.183999999999997</v>
      </c>
      <c r="Q20" s="188">
        <v>33.506999999999998</v>
      </c>
      <c r="R20" s="186">
        <v>45931</v>
      </c>
      <c r="S20" s="177">
        <f t="shared" si="6"/>
        <v>906</v>
      </c>
      <c r="T20" s="171">
        <f t="shared" si="4"/>
        <v>3.5068000000000055</v>
      </c>
      <c r="U20" s="181">
        <f t="shared" si="5"/>
        <v>3.4968000000000057</v>
      </c>
      <c r="V20" s="182">
        <f t="shared" si="7"/>
        <v>2.1029886228561758</v>
      </c>
      <c r="W20" s="201" t="s">
        <v>562</v>
      </c>
      <c r="X20" s="201">
        <v>0.27</v>
      </c>
      <c r="Y20" s="201">
        <f t="shared" si="8"/>
        <v>4.2857284768211921</v>
      </c>
      <c r="Z20" s="754" t="s">
        <v>570</v>
      </c>
      <c r="AA20" s="754"/>
    </row>
    <row r="21" spans="1:27" x14ac:dyDescent="0.25">
      <c r="A21" s="402">
        <v>7</v>
      </c>
      <c r="B21" s="403" t="s">
        <v>490</v>
      </c>
      <c r="C21" s="404" t="s">
        <v>12</v>
      </c>
      <c r="D21" s="404" t="s">
        <v>89</v>
      </c>
      <c r="E21" s="405" t="s">
        <v>19</v>
      </c>
      <c r="F21" s="56">
        <v>5.2</v>
      </c>
      <c r="G21" s="56">
        <v>7.86</v>
      </c>
      <c r="H21" s="405" t="s">
        <v>477</v>
      </c>
      <c r="I21" s="405" t="s">
        <v>14</v>
      </c>
      <c r="J21" s="189">
        <v>45026</v>
      </c>
      <c r="K21" s="57" t="s">
        <v>519</v>
      </c>
      <c r="L21" s="58">
        <v>36.716000000000001</v>
      </c>
      <c r="M21" s="167" t="s">
        <v>2</v>
      </c>
      <c r="N21" s="167" t="s">
        <v>4</v>
      </c>
      <c r="O21" s="167" t="s">
        <v>4</v>
      </c>
      <c r="P21" s="185">
        <v>36.171999999999997</v>
      </c>
      <c r="Q21" s="185">
        <v>34.295000000000002</v>
      </c>
      <c r="R21" s="186">
        <v>45931</v>
      </c>
      <c r="S21" s="177">
        <f t="shared" si="6"/>
        <v>905</v>
      </c>
      <c r="T21" s="171">
        <f t="shared" si="4"/>
        <v>2.4209999999999994</v>
      </c>
      <c r="U21" s="175">
        <f t="shared" si="5"/>
        <v>2.4109999999999996</v>
      </c>
      <c r="V21" s="176">
        <f t="shared" si="7"/>
        <v>1.4515866270009914</v>
      </c>
      <c r="W21" s="201" t="s">
        <v>564</v>
      </c>
      <c r="X21" s="201">
        <v>0.06</v>
      </c>
      <c r="Y21" s="201">
        <f t="shared" si="8"/>
        <v>0.95343646408839766</v>
      </c>
      <c r="Z21" s="201"/>
      <c r="AA21" s="201"/>
    </row>
    <row r="22" spans="1:27" x14ac:dyDescent="0.25">
      <c r="A22" s="406"/>
      <c r="B22" s="365"/>
      <c r="C22" s="407"/>
      <c r="D22" s="385"/>
      <c r="E22" s="407"/>
      <c r="F22" s="56">
        <v>5.2</v>
      </c>
      <c r="G22" s="56">
        <v>7.86</v>
      </c>
      <c r="H22" s="407"/>
      <c r="I22" s="407"/>
      <c r="J22" s="189">
        <v>45026</v>
      </c>
      <c r="K22" s="57" t="s">
        <v>520</v>
      </c>
      <c r="L22" s="58">
        <v>36.921700000000001</v>
      </c>
      <c r="M22" s="167" t="s">
        <v>2</v>
      </c>
      <c r="N22" s="167" t="s">
        <v>4</v>
      </c>
      <c r="O22" s="167" t="s">
        <v>4</v>
      </c>
      <c r="P22" s="188">
        <v>36.015999999999998</v>
      </c>
      <c r="Q22" s="188">
        <v>34.009</v>
      </c>
      <c r="R22" s="186">
        <v>45931</v>
      </c>
      <c r="S22" s="177">
        <f t="shared" si="6"/>
        <v>905</v>
      </c>
      <c r="T22" s="171">
        <f t="shared" si="4"/>
        <v>2.912700000000001</v>
      </c>
      <c r="U22" s="181">
        <f t="shared" si="5"/>
        <v>2.9027000000000012</v>
      </c>
      <c r="V22" s="182">
        <f t="shared" si="7"/>
        <v>1.7476236010766402</v>
      </c>
      <c r="W22" s="201" t="s">
        <v>564</v>
      </c>
      <c r="X22" s="201">
        <v>0.09</v>
      </c>
      <c r="Y22" s="201">
        <f t="shared" si="8"/>
        <v>1.4301546961325966</v>
      </c>
      <c r="Z22" s="201"/>
      <c r="AA22" s="201"/>
    </row>
    <row r="23" spans="1:27" x14ac:dyDescent="0.25">
      <c r="A23" s="402">
        <v>8</v>
      </c>
      <c r="B23" s="403" t="s">
        <v>491</v>
      </c>
      <c r="C23" s="404" t="s">
        <v>12</v>
      </c>
      <c r="D23" s="404" t="s">
        <v>89</v>
      </c>
      <c r="E23" s="405" t="s">
        <v>19</v>
      </c>
      <c r="F23" s="56">
        <v>5.2</v>
      </c>
      <c r="G23" s="56">
        <v>7.86</v>
      </c>
      <c r="H23" s="405" t="s">
        <v>477</v>
      </c>
      <c r="I23" s="405" t="s">
        <v>14</v>
      </c>
      <c r="J23" s="189">
        <v>45022</v>
      </c>
      <c r="K23" s="57" t="s">
        <v>521</v>
      </c>
      <c r="L23" s="58">
        <v>36.696100000000001</v>
      </c>
      <c r="M23" s="167" t="s">
        <v>2</v>
      </c>
      <c r="N23" s="167" t="s">
        <v>4</v>
      </c>
      <c r="O23" s="167" t="s">
        <v>4</v>
      </c>
      <c r="P23" s="185">
        <v>36.564999999999998</v>
      </c>
      <c r="Q23" s="185">
        <v>34.89</v>
      </c>
      <c r="R23" s="186">
        <v>45931</v>
      </c>
      <c r="S23" s="177">
        <f t="shared" si="6"/>
        <v>909</v>
      </c>
      <c r="T23" s="171">
        <f t="shared" si="4"/>
        <v>1.8061000000000007</v>
      </c>
      <c r="U23" s="175">
        <f t="shared" si="5"/>
        <v>1.7961000000000007</v>
      </c>
      <c r="V23" s="176">
        <f t="shared" si="7"/>
        <v>1.076616315477702</v>
      </c>
      <c r="W23" s="201" t="s">
        <v>562</v>
      </c>
      <c r="X23" s="201">
        <v>0.14000000000000001</v>
      </c>
      <c r="Y23" s="201">
        <f t="shared" si="8"/>
        <v>2.214895489548955</v>
      </c>
      <c r="Z23" s="754" t="s">
        <v>570</v>
      </c>
      <c r="AA23" s="754"/>
    </row>
    <row r="24" spans="1:27" x14ac:dyDescent="0.25">
      <c r="A24" s="406"/>
      <c r="B24" s="365"/>
      <c r="C24" s="407"/>
      <c r="D24" s="385"/>
      <c r="E24" s="407"/>
      <c r="F24" s="56">
        <v>5.2</v>
      </c>
      <c r="G24" s="56">
        <v>7.86</v>
      </c>
      <c r="H24" s="407"/>
      <c r="I24" s="407"/>
      <c r="J24" s="189">
        <v>45022</v>
      </c>
      <c r="K24" s="57" t="s">
        <v>522</v>
      </c>
      <c r="L24" s="58">
        <v>36.920299999999997</v>
      </c>
      <c r="M24" s="167" t="s">
        <v>2</v>
      </c>
      <c r="N24" s="167" t="s">
        <v>4</v>
      </c>
      <c r="O24" s="167" t="s">
        <v>4</v>
      </c>
      <c r="P24" s="188">
        <v>34.404000000000003</v>
      </c>
      <c r="Q24" s="188">
        <v>32.308999999999997</v>
      </c>
      <c r="R24" s="186">
        <v>45931</v>
      </c>
      <c r="S24" s="177">
        <f t="shared" si="6"/>
        <v>909</v>
      </c>
      <c r="T24" s="171">
        <f t="shared" si="4"/>
        <v>4.6113</v>
      </c>
      <c r="U24" s="181">
        <f t="shared" si="5"/>
        <v>4.6013000000000002</v>
      </c>
      <c r="V24" s="182">
        <f t="shared" si="7"/>
        <v>2.7581062593438825</v>
      </c>
      <c r="W24" s="201" t="s">
        <v>562</v>
      </c>
      <c r="X24" s="201">
        <v>0.7</v>
      </c>
      <c r="Y24" s="201">
        <f t="shared" si="8"/>
        <v>11.074477447744771</v>
      </c>
      <c r="Z24" s="754" t="s">
        <v>570</v>
      </c>
      <c r="AA24" s="754"/>
    </row>
    <row r="25" spans="1:27" x14ac:dyDescent="0.25">
      <c r="A25" s="402">
        <v>9</v>
      </c>
      <c r="B25" s="403" t="s">
        <v>492</v>
      </c>
      <c r="C25" s="404" t="s">
        <v>12</v>
      </c>
      <c r="D25" s="404" t="s">
        <v>89</v>
      </c>
      <c r="E25" s="405" t="s">
        <v>19</v>
      </c>
      <c r="F25" s="56">
        <v>5.2</v>
      </c>
      <c r="G25" s="56">
        <v>7.86</v>
      </c>
      <c r="H25" s="405" t="s">
        <v>477</v>
      </c>
      <c r="I25" s="405" t="s">
        <v>14</v>
      </c>
      <c r="J25" s="189">
        <v>45022</v>
      </c>
      <c r="K25" s="57" t="s">
        <v>523</v>
      </c>
      <c r="L25" s="58">
        <v>36.769199999999998</v>
      </c>
      <c r="M25" s="167" t="s">
        <v>2</v>
      </c>
      <c r="N25" s="167" t="s">
        <v>4</v>
      </c>
      <c r="O25" s="167" t="s">
        <v>4</v>
      </c>
      <c r="P25" s="185">
        <v>36.716000000000001</v>
      </c>
      <c r="Q25" s="185">
        <v>36.18</v>
      </c>
      <c r="R25" s="186">
        <v>45931</v>
      </c>
      <c r="S25" s="177">
        <f t="shared" si="6"/>
        <v>909</v>
      </c>
      <c r="T25" s="171">
        <f t="shared" si="4"/>
        <v>0.58919999999999817</v>
      </c>
      <c r="U25" s="175">
        <f t="shared" si="5"/>
        <v>0.57919999999999816</v>
      </c>
      <c r="V25" s="176">
        <f t="shared" si="7"/>
        <v>0.34718343629234599</v>
      </c>
      <c r="W25" s="201" t="s">
        <v>564</v>
      </c>
      <c r="X25" s="201">
        <v>0.01</v>
      </c>
      <c r="Y25" s="201">
        <f t="shared" si="8"/>
        <v>0.15820682068206821</v>
      </c>
      <c r="Z25" s="201"/>
      <c r="AA25" s="201"/>
    </row>
    <row r="26" spans="1:27" ht="13.8" thickBot="1" x14ac:dyDescent="0.3">
      <c r="A26" s="406"/>
      <c r="B26" s="365"/>
      <c r="C26" s="407"/>
      <c r="D26" s="385"/>
      <c r="E26" s="407"/>
      <c r="F26" s="60">
        <v>5.2</v>
      </c>
      <c r="G26" s="60">
        <v>7.86</v>
      </c>
      <c r="H26" s="407"/>
      <c r="I26" s="407"/>
      <c r="J26" s="189">
        <v>45022</v>
      </c>
      <c r="K26" s="101" t="s">
        <v>524</v>
      </c>
      <c r="L26" s="61">
        <v>36.882399999999997</v>
      </c>
      <c r="M26" s="180" t="s">
        <v>2</v>
      </c>
      <c r="N26" s="180" t="s">
        <v>4</v>
      </c>
      <c r="O26" s="180" t="s">
        <v>4</v>
      </c>
      <c r="P26" s="188">
        <v>36.899000000000001</v>
      </c>
      <c r="Q26" s="188">
        <v>36.292000000000002</v>
      </c>
      <c r="R26" s="186">
        <v>45931</v>
      </c>
      <c r="S26" s="177">
        <f t="shared" si="6"/>
        <v>909</v>
      </c>
      <c r="T26" s="190">
        <f t="shared" si="4"/>
        <v>0.59039999999999537</v>
      </c>
      <c r="U26" s="181">
        <f t="shared" si="5"/>
        <v>0.58039999999999536</v>
      </c>
      <c r="V26" s="182">
        <f t="shared" si="7"/>
        <v>0.34790273899184504</v>
      </c>
      <c r="W26" s="201" t="s">
        <v>564</v>
      </c>
      <c r="X26" s="201">
        <v>0.01</v>
      </c>
      <c r="Y26" s="201">
        <f t="shared" si="8"/>
        <v>0.15820682068206821</v>
      </c>
      <c r="Z26" s="201"/>
      <c r="AA26" s="201"/>
    </row>
    <row r="27" spans="1:27" ht="14.4" customHeight="1" thickBot="1" x14ac:dyDescent="0.3">
      <c r="A27" s="416" t="s">
        <v>479</v>
      </c>
      <c r="B27" s="417"/>
      <c r="C27" s="417"/>
      <c r="D27" s="417"/>
      <c r="E27" s="417"/>
      <c r="F27" s="417"/>
      <c r="G27" s="417"/>
      <c r="H27" s="417"/>
      <c r="I27" s="417"/>
      <c r="J27" s="196"/>
      <c r="K27" s="196"/>
      <c r="L27" s="196"/>
      <c r="M27" s="196"/>
      <c r="N27" s="196"/>
      <c r="O27" s="196"/>
      <c r="P27" s="196"/>
      <c r="Q27" s="196"/>
      <c r="R27" s="196"/>
      <c r="S27" s="196"/>
      <c r="T27" s="196"/>
      <c r="U27" s="196"/>
      <c r="V27" s="196"/>
      <c r="W27" s="196"/>
      <c r="X27" s="196"/>
      <c r="Y27" s="196"/>
      <c r="Z27" s="196"/>
      <c r="AA27" s="197"/>
    </row>
    <row r="28" spans="1:27" ht="13.8" thickBot="1" x14ac:dyDescent="0.3">
      <c r="A28" s="408">
        <v>10</v>
      </c>
      <c r="B28" s="366" t="s">
        <v>493</v>
      </c>
      <c r="C28" s="386" t="s">
        <v>12</v>
      </c>
      <c r="D28" s="386" t="s">
        <v>89</v>
      </c>
      <c r="E28" s="409" t="s">
        <v>19</v>
      </c>
      <c r="F28" s="62">
        <v>5.2</v>
      </c>
      <c r="G28" s="62">
        <v>7.86</v>
      </c>
      <c r="H28" s="409" t="s">
        <v>477</v>
      </c>
      <c r="I28" s="409" t="s">
        <v>14</v>
      </c>
      <c r="J28" s="189">
        <v>44067</v>
      </c>
      <c r="K28" s="62" t="s">
        <v>525</v>
      </c>
      <c r="L28" s="63">
        <v>37.160299999999999</v>
      </c>
      <c r="M28" s="167" t="s">
        <v>2</v>
      </c>
      <c r="N28" s="167" t="s">
        <v>4</v>
      </c>
      <c r="O28" s="167" t="s">
        <v>4</v>
      </c>
      <c r="P28" s="191">
        <v>26.039000000000001</v>
      </c>
      <c r="Q28" s="191">
        <v>25.088999999999999</v>
      </c>
      <c r="R28" s="192">
        <v>45929</v>
      </c>
      <c r="S28" s="173">
        <f>R28-J28</f>
        <v>1862</v>
      </c>
      <c r="T28" s="171">
        <f t="shared" ref="T28:T45" si="9">L28-Q28</f>
        <v>12.071300000000001</v>
      </c>
      <c r="U28" s="171">
        <f t="shared" ref="U28:U45" si="10">T28-0.01</f>
        <v>12.061300000000001</v>
      </c>
      <c r="V28" s="172">
        <f t="shared" ref="V28:V45" si="11">(U28*22270)/(S28*G28*F28)</f>
        <v>3.529464113580655</v>
      </c>
      <c r="W28" s="201" t="s">
        <v>565</v>
      </c>
      <c r="X28" s="201">
        <v>0.83</v>
      </c>
      <c r="Y28" s="201">
        <f>((X28*365)/S28)*39.4</f>
        <v>6.4104350161117081</v>
      </c>
      <c r="Z28" s="756" t="s">
        <v>575</v>
      </c>
      <c r="AA28" s="756"/>
    </row>
    <row r="29" spans="1:27" x14ac:dyDescent="0.25">
      <c r="A29" s="406"/>
      <c r="B29" s="365"/>
      <c r="C29" s="407"/>
      <c r="D29" s="385"/>
      <c r="E29" s="407"/>
      <c r="F29" s="56">
        <v>5.2</v>
      </c>
      <c r="G29" s="56">
        <v>7.86</v>
      </c>
      <c r="H29" s="407"/>
      <c r="I29" s="407"/>
      <c r="J29" s="189">
        <v>44067</v>
      </c>
      <c r="K29" s="56" t="s">
        <v>526</v>
      </c>
      <c r="L29" s="58">
        <v>36.704599999999999</v>
      </c>
      <c r="M29" s="167" t="s">
        <v>2</v>
      </c>
      <c r="N29" s="167" t="s">
        <v>4</v>
      </c>
      <c r="O29" s="167" t="s">
        <v>4</v>
      </c>
      <c r="P29" s="188">
        <v>29.376999999999999</v>
      </c>
      <c r="Q29" s="188">
        <v>27.984999999999999</v>
      </c>
      <c r="R29" s="192">
        <v>45929</v>
      </c>
      <c r="S29" s="183">
        <f>R29-J29</f>
        <v>1862</v>
      </c>
      <c r="T29" s="171">
        <f t="shared" si="9"/>
        <v>8.7195999999999998</v>
      </c>
      <c r="U29" s="181">
        <f t="shared" si="10"/>
        <v>8.7096</v>
      </c>
      <c r="V29" s="182">
        <f t="shared" si="11"/>
        <v>2.5486656200941913</v>
      </c>
      <c r="W29" s="201" t="s">
        <v>566</v>
      </c>
      <c r="X29" s="201">
        <v>0.25</v>
      </c>
      <c r="Y29" s="201">
        <f t="shared" ref="Y29:Y44" si="12">((X29*365)/S29)*39.4</f>
        <v>1.9308539205155746</v>
      </c>
      <c r="Z29" s="756" t="s">
        <v>575</v>
      </c>
      <c r="AA29" s="756"/>
    </row>
    <row r="30" spans="1:27" x14ac:dyDescent="0.25">
      <c r="A30" s="402">
        <v>11</v>
      </c>
      <c r="B30" s="403" t="s">
        <v>476</v>
      </c>
      <c r="C30" s="404" t="s">
        <v>12</v>
      </c>
      <c r="D30" s="404" t="s">
        <v>89</v>
      </c>
      <c r="E30" s="405" t="s">
        <v>19</v>
      </c>
      <c r="F30" s="56">
        <v>5.2</v>
      </c>
      <c r="G30" s="56">
        <v>7.86</v>
      </c>
      <c r="H30" s="405" t="s">
        <v>477</v>
      </c>
      <c r="I30" s="405" t="s">
        <v>14</v>
      </c>
      <c r="J30" s="189">
        <v>44067</v>
      </c>
      <c r="K30" s="56" t="s">
        <v>527</v>
      </c>
      <c r="L30" s="58">
        <v>37.002299999999998</v>
      </c>
      <c r="M30" s="167" t="s">
        <v>2</v>
      </c>
      <c r="N30" s="167" t="s">
        <v>4</v>
      </c>
      <c r="O30" s="167" t="s">
        <v>4</v>
      </c>
      <c r="P30" s="185">
        <v>33.043999999999997</v>
      </c>
      <c r="Q30" s="185">
        <v>31.768000000000001</v>
      </c>
      <c r="R30" s="186">
        <v>45929</v>
      </c>
      <c r="S30" s="177">
        <f t="shared" ref="S30:S45" si="13">R30-J30</f>
        <v>1862</v>
      </c>
      <c r="T30" s="171">
        <f t="shared" si="9"/>
        <v>5.2342999999999975</v>
      </c>
      <c r="U30" s="175">
        <f t="shared" si="10"/>
        <v>5.2242999999999977</v>
      </c>
      <c r="V30" s="176">
        <f t="shared" si="11"/>
        <v>1.5287721363849176</v>
      </c>
      <c r="W30" s="201" t="s">
        <v>563</v>
      </c>
      <c r="X30" s="201">
        <v>1.07</v>
      </c>
      <c r="Y30" s="201">
        <f t="shared" si="12"/>
        <v>8.2640547798066599</v>
      </c>
      <c r="Z30" s="201"/>
      <c r="AA30" s="201"/>
    </row>
    <row r="31" spans="1:27" x14ac:dyDescent="0.25">
      <c r="A31" s="406"/>
      <c r="B31" s="365"/>
      <c r="C31" s="407"/>
      <c r="D31" s="385"/>
      <c r="E31" s="407"/>
      <c r="F31" s="56">
        <v>5.2</v>
      </c>
      <c r="G31" s="56">
        <v>7.86</v>
      </c>
      <c r="H31" s="407"/>
      <c r="I31" s="407"/>
      <c r="J31" s="189">
        <v>44067</v>
      </c>
      <c r="K31" s="56" t="s">
        <v>528</v>
      </c>
      <c r="L31" s="58">
        <v>36.9285</v>
      </c>
      <c r="M31" s="180" t="s">
        <v>2</v>
      </c>
      <c r="N31" s="180" t="s">
        <v>4</v>
      </c>
      <c r="O31" s="180" t="s">
        <v>4</v>
      </c>
      <c r="P31" s="188">
        <v>32.906999999999996</v>
      </c>
      <c r="Q31" s="188">
        <v>31.826000000000001</v>
      </c>
      <c r="R31" s="186">
        <v>45929</v>
      </c>
      <c r="S31" s="183">
        <f t="shared" si="13"/>
        <v>1862</v>
      </c>
      <c r="T31" s="171">
        <f t="shared" si="9"/>
        <v>5.1024999999999991</v>
      </c>
      <c r="U31" s="181">
        <f t="shared" si="10"/>
        <v>5.0924999999999994</v>
      </c>
      <c r="V31" s="182">
        <f t="shared" si="11"/>
        <v>1.4902038750722959</v>
      </c>
      <c r="W31" s="201" t="s">
        <v>563</v>
      </c>
      <c r="X31" s="201">
        <v>0.83</v>
      </c>
      <c r="Y31" s="201">
        <f t="shared" si="12"/>
        <v>6.4104350161117081</v>
      </c>
      <c r="Z31" s="754" t="s">
        <v>572</v>
      </c>
      <c r="AA31" s="754"/>
    </row>
    <row r="32" spans="1:27" x14ac:dyDescent="0.25">
      <c r="A32" s="402">
        <v>12</v>
      </c>
      <c r="B32" s="403" t="s">
        <v>494</v>
      </c>
      <c r="C32" s="404" t="s">
        <v>12</v>
      </c>
      <c r="D32" s="404" t="s">
        <v>89</v>
      </c>
      <c r="E32" s="405" t="s">
        <v>19</v>
      </c>
      <c r="F32" s="56">
        <v>5.2</v>
      </c>
      <c r="G32" s="56">
        <v>7.86</v>
      </c>
      <c r="H32" s="405" t="s">
        <v>477</v>
      </c>
      <c r="I32" s="405" t="s">
        <v>14</v>
      </c>
      <c r="J32" s="189">
        <v>44068</v>
      </c>
      <c r="K32" s="56" t="s">
        <v>529</v>
      </c>
      <c r="L32" s="58">
        <v>36.996699999999997</v>
      </c>
      <c r="M32" s="180" t="s">
        <v>2</v>
      </c>
      <c r="N32" s="180" t="s">
        <v>4</v>
      </c>
      <c r="O32" s="180" t="s">
        <v>4</v>
      </c>
      <c r="P32" s="185">
        <v>8.0820000000000007</v>
      </c>
      <c r="Q32" s="185">
        <v>6.8040000000000003</v>
      </c>
      <c r="R32" s="186">
        <v>45924</v>
      </c>
      <c r="S32" s="177">
        <f t="shared" si="13"/>
        <v>1856</v>
      </c>
      <c r="T32" s="171">
        <f t="shared" si="9"/>
        <v>30.192699999999995</v>
      </c>
      <c r="U32" s="175">
        <f t="shared" si="10"/>
        <v>30.182699999999993</v>
      </c>
      <c r="V32" s="176">
        <f t="shared" si="11"/>
        <v>8.860830777519892</v>
      </c>
      <c r="W32" s="201" t="s">
        <v>567</v>
      </c>
      <c r="X32" s="201">
        <v>0.71</v>
      </c>
      <c r="Y32" s="201">
        <f t="shared" si="12"/>
        <v>5.5013523706896548</v>
      </c>
      <c r="Z32" s="755" t="s">
        <v>576</v>
      </c>
      <c r="AA32" s="755"/>
    </row>
    <row r="33" spans="1:27" x14ac:dyDescent="0.25">
      <c r="A33" s="406"/>
      <c r="B33" s="365"/>
      <c r="C33" s="407"/>
      <c r="D33" s="385"/>
      <c r="E33" s="407"/>
      <c r="F33" s="56">
        <v>5.2</v>
      </c>
      <c r="G33" s="56">
        <v>7.86</v>
      </c>
      <c r="H33" s="407"/>
      <c r="I33" s="407"/>
      <c r="J33" s="189">
        <v>44068</v>
      </c>
      <c r="K33" s="56" t="s">
        <v>530</v>
      </c>
      <c r="L33" s="58">
        <v>36.799500000000002</v>
      </c>
      <c r="M33" s="180" t="s">
        <v>2</v>
      </c>
      <c r="N33" s="180" t="s">
        <v>4</v>
      </c>
      <c r="O33" s="180" t="s">
        <v>4</v>
      </c>
      <c r="P33" s="188">
        <v>6.5460000000000003</v>
      </c>
      <c r="Q33" s="188">
        <v>5.4409999999999998</v>
      </c>
      <c r="R33" s="186">
        <v>45924</v>
      </c>
      <c r="S33" s="183">
        <f t="shared" si="13"/>
        <v>1856</v>
      </c>
      <c r="T33" s="171">
        <f t="shared" si="9"/>
        <v>31.358500000000003</v>
      </c>
      <c r="U33" s="181">
        <f t="shared" si="10"/>
        <v>31.348500000000001</v>
      </c>
      <c r="V33" s="182">
        <f t="shared" si="11"/>
        <v>9.2030783736737405</v>
      </c>
      <c r="W33" s="201" t="s">
        <v>567</v>
      </c>
      <c r="X33" s="201">
        <v>0.81</v>
      </c>
      <c r="Y33" s="201">
        <f t="shared" si="12"/>
        <v>6.2761907327586215</v>
      </c>
      <c r="Z33" s="755" t="s">
        <v>576</v>
      </c>
      <c r="AA33" s="755"/>
    </row>
    <row r="34" spans="1:27" x14ac:dyDescent="0.25">
      <c r="A34" s="402">
        <v>13</v>
      </c>
      <c r="B34" s="403" t="s">
        <v>495</v>
      </c>
      <c r="C34" s="404" t="s">
        <v>12</v>
      </c>
      <c r="D34" s="404" t="s">
        <v>89</v>
      </c>
      <c r="E34" s="405" t="s">
        <v>19</v>
      </c>
      <c r="F34" s="56">
        <v>5.2</v>
      </c>
      <c r="G34" s="56">
        <v>7.86</v>
      </c>
      <c r="H34" s="405" t="s">
        <v>477</v>
      </c>
      <c r="I34" s="405" t="s">
        <v>14</v>
      </c>
      <c r="J34" s="189">
        <v>44070</v>
      </c>
      <c r="K34" s="56" t="s">
        <v>531</v>
      </c>
      <c r="L34" s="58">
        <v>36.9405</v>
      </c>
      <c r="M34" s="180" t="s">
        <v>2</v>
      </c>
      <c r="N34" s="180" t="s">
        <v>4</v>
      </c>
      <c r="O34" s="180" t="s">
        <v>4</v>
      </c>
      <c r="P34" s="185">
        <v>5.8879999999999999</v>
      </c>
      <c r="Q34" s="185">
        <v>5.6790000000000003</v>
      </c>
      <c r="R34" s="186">
        <v>45929</v>
      </c>
      <c r="S34" s="177">
        <f t="shared" si="13"/>
        <v>1859</v>
      </c>
      <c r="T34" s="171">
        <f t="shared" si="9"/>
        <v>31.261499999999998</v>
      </c>
      <c r="U34" s="175">
        <f t="shared" si="10"/>
        <v>31.251499999999997</v>
      </c>
      <c r="V34" s="176">
        <f t="shared" si="11"/>
        <v>9.1597960717783202</v>
      </c>
      <c r="W34" s="201" t="s">
        <v>567</v>
      </c>
      <c r="X34" s="201">
        <v>1.33</v>
      </c>
      <c r="Y34" s="201">
        <f t="shared" si="12"/>
        <v>10.288719741796665</v>
      </c>
      <c r="Z34" s="755" t="s">
        <v>576</v>
      </c>
      <c r="AA34" s="755"/>
    </row>
    <row r="35" spans="1:27" x14ac:dyDescent="0.25">
      <c r="A35" s="406"/>
      <c r="B35" s="365"/>
      <c r="C35" s="407"/>
      <c r="D35" s="385"/>
      <c r="E35" s="407"/>
      <c r="F35" s="56">
        <v>5.2</v>
      </c>
      <c r="G35" s="56">
        <v>7.86</v>
      </c>
      <c r="H35" s="407"/>
      <c r="I35" s="407"/>
      <c r="J35" s="189">
        <v>44070</v>
      </c>
      <c r="K35" s="56" t="s">
        <v>532</v>
      </c>
      <c r="L35" s="58">
        <v>36.996400000000001</v>
      </c>
      <c r="M35" s="180" t="s">
        <v>2</v>
      </c>
      <c r="N35" s="180" t="s">
        <v>4</v>
      </c>
      <c r="O35" s="180" t="s">
        <v>4</v>
      </c>
      <c r="P35" s="188">
        <v>4.6340000000000003</v>
      </c>
      <c r="Q35" s="188">
        <v>4.4370000000000003</v>
      </c>
      <c r="R35" s="186">
        <v>45929</v>
      </c>
      <c r="S35" s="183">
        <f t="shared" si="13"/>
        <v>1859</v>
      </c>
      <c r="T35" s="171">
        <f t="shared" si="9"/>
        <v>32.559400000000004</v>
      </c>
      <c r="U35" s="181">
        <f t="shared" si="10"/>
        <v>32.549400000000006</v>
      </c>
      <c r="V35" s="182">
        <f t="shared" si="11"/>
        <v>9.5402097902097935</v>
      </c>
      <c r="W35" s="201" t="s">
        <v>567</v>
      </c>
      <c r="X35" s="201">
        <v>1.37</v>
      </c>
      <c r="Y35" s="201">
        <f t="shared" si="12"/>
        <v>10.598154922001076</v>
      </c>
      <c r="Z35" s="755" t="s">
        <v>576</v>
      </c>
      <c r="AA35" s="755"/>
    </row>
    <row r="36" spans="1:27" x14ac:dyDescent="0.25">
      <c r="A36" s="402">
        <v>14</v>
      </c>
      <c r="B36" s="403" t="s">
        <v>496</v>
      </c>
      <c r="C36" s="404" t="s">
        <v>12</v>
      </c>
      <c r="D36" s="404" t="s">
        <v>89</v>
      </c>
      <c r="E36" s="405" t="s">
        <v>19</v>
      </c>
      <c r="F36" s="56">
        <v>5.2</v>
      </c>
      <c r="G36" s="56">
        <v>7.86</v>
      </c>
      <c r="H36" s="405" t="s">
        <v>477</v>
      </c>
      <c r="I36" s="405" t="s">
        <v>14</v>
      </c>
      <c r="J36" s="189"/>
      <c r="K36" s="56"/>
      <c r="L36" s="58"/>
      <c r="M36" s="398" t="s">
        <v>123</v>
      </c>
      <c r="N36" s="398" t="s">
        <v>124</v>
      </c>
      <c r="O36" s="563" t="s">
        <v>120</v>
      </c>
      <c r="P36" s="185"/>
      <c r="Q36" s="185"/>
      <c r="R36" s="186"/>
      <c r="S36" s="177">
        <f t="shared" si="13"/>
        <v>0</v>
      </c>
      <c r="T36" s="171">
        <f t="shared" si="9"/>
        <v>0</v>
      </c>
      <c r="U36" s="175">
        <f t="shared" si="10"/>
        <v>-0.01</v>
      </c>
      <c r="V36" s="176"/>
      <c r="W36" s="201"/>
      <c r="X36" s="201"/>
      <c r="Y36" s="201"/>
      <c r="Z36" s="201"/>
      <c r="AA36" s="201"/>
    </row>
    <row r="37" spans="1:27" x14ac:dyDescent="0.25">
      <c r="A37" s="406"/>
      <c r="B37" s="365"/>
      <c r="C37" s="407"/>
      <c r="D37" s="385"/>
      <c r="E37" s="407"/>
      <c r="F37" s="56">
        <v>5.2</v>
      </c>
      <c r="G37" s="56">
        <v>7.86</v>
      </c>
      <c r="H37" s="407"/>
      <c r="I37" s="407"/>
      <c r="J37" s="189"/>
      <c r="K37" s="56"/>
      <c r="L37" s="58"/>
      <c r="M37" s="398"/>
      <c r="N37" s="398"/>
      <c r="O37" s="563"/>
      <c r="P37" s="188"/>
      <c r="Q37" s="188"/>
      <c r="R37" s="186"/>
      <c r="S37" s="183">
        <f t="shared" si="13"/>
        <v>0</v>
      </c>
      <c r="T37" s="171">
        <f t="shared" si="9"/>
        <v>0</v>
      </c>
      <c r="U37" s="181">
        <f t="shared" si="10"/>
        <v>-0.01</v>
      </c>
      <c r="V37" s="182"/>
      <c r="W37" s="201"/>
      <c r="X37" s="201"/>
      <c r="Y37" s="201"/>
      <c r="Z37" s="201"/>
      <c r="AA37" s="201"/>
    </row>
    <row r="38" spans="1:27" x14ac:dyDescent="0.25">
      <c r="A38" s="402">
        <v>15</v>
      </c>
      <c r="B38" s="403" t="s">
        <v>497</v>
      </c>
      <c r="C38" s="404" t="s">
        <v>12</v>
      </c>
      <c r="D38" s="404" t="s">
        <v>89</v>
      </c>
      <c r="E38" s="405" t="s">
        <v>19</v>
      </c>
      <c r="F38" s="56">
        <v>5.2</v>
      </c>
      <c r="G38" s="56">
        <v>7.86</v>
      </c>
      <c r="H38" s="405" t="s">
        <v>477</v>
      </c>
      <c r="I38" s="405" t="s">
        <v>14</v>
      </c>
      <c r="J38" s="189">
        <v>44068</v>
      </c>
      <c r="K38" s="56" t="s">
        <v>533</v>
      </c>
      <c r="L38" s="58">
        <v>36.7562</v>
      </c>
      <c r="M38" s="180" t="s">
        <v>2</v>
      </c>
      <c r="N38" s="180" t="s">
        <v>4</v>
      </c>
      <c r="O38" s="180" t="s">
        <v>4</v>
      </c>
      <c r="P38" s="185">
        <v>16.635000000000002</v>
      </c>
      <c r="Q38" s="185">
        <v>14.375999999999999</v>
      </c>
      <c r="R38" s="186">
        <v>45923</v>
      </c>
      <c r="S38" s="177">
        <f t="shared" si="13"/>
        <v>1855</v>
      </c>
      <c r="T38" s="171">
        <f t="shared" si="9"/>
        <v>22.380200000000002</v>
      </c>
      <c r="U38" s="175">
        <f t="shared" si="10"/>
        <v>22.370200000000001</v>
      </c>
      <c r="V38" s="176">
        <f t="shared" si="11"/>
        <v>6.570830741585457</v>
      </c>
      <c r="W38" s="201" t="s">
        <v>567</v>
      </c>
      <c r="X38" s="201">
        <v>0.43</v>
      </c>
      <c r="Y38" s="201">
        <f t="shared" si="12"/>
        <v>3.3336010781671157</v>
      </c>
      <c r="Z38" s="755" t="s">
        <v>574</v>
      </c>
      <c r="AA38" s="755"/>
    </row>
    <row r="39" spans="1:27" x14ac:dyDescent="0.25">
      <c r="A39" s="406"/>
      <c r="B39" s="365"/>
      <c r="C39" s="407"/>
      <c r="D39" s="385"/>
      <c r="E39" s="407"/>
      <c r="F39" s="56">
        <v>5.2</v>
      </c>
      <c r="G39" s="56">
        <v>7.86</v>
      </c>
      <c r="H39" s="407"/>
      <c r="I39" s="407"/>
      <c r="J39" s="189">
        <v>44068</v>
      </c>
      <c r="K39" s="56" t="s">
        <v>534</v>
      </c>
      <c r="L39" s="58">
        <v>36.9788</v>
      </c>
      <c r="M39" s="180" t="s">
        <v>2</v>
      </c>
      <c r="N39" s="180" t="s">
        <v>4</v>
      </c>
      <c r="O39" s="180" t="s">
        <v>4</v>
      </c>
      <c r="P39" s="188">
        <v>17.55</v>
      </c>
      <c r="Q39" s="188">
        <v>15.134</v>
      </c>
      <c r="R39" s="186">
        <v>45923</v>
      </c>
      <c r="S39" s="183">
        <f t="shared" si="13"/>
        <v>1855</v>
      </c>
      <c r="T39" s="171">
        <f t="shared" si="9"/>
        <v>21.844799999999999</v>
      </c>
      <c r="U39" s="181">
        <f t="shared" si="10"/>
        <v>21.834799999999998</v>
      </c>
      <c r="V39" s="182">
        <f t="shared" si="11"/>
        <v>6.4135669362084435</v>
      </c>
      <c r="W39" s="201" t="s">
        <v>567</v>
      </c>
      <c r="X39" s="201">
        <v>0.43</v>
      </c>
      <c r="Y39" s="201">
        <f t="shared" si="12"/>
        <v>3.3336010781671157</v>
      </c>
      <c r="Z39" s="755" t="s">
        <v>574</v>
      </c>
      <c r="AA39" s="755"/>
    </row>
    <row r="40" spans="1:27" x14ac:dyDescent="0.25">
      <c r="A40" s="402">
        <v>16</v>
      </c>
      <c r="B40" s="403" t="s">
        <v>498</v>
      </c>
      <c r="C40" s="404" t="s">
        <v>12</v>
      </c>
      <c r="D40" s="404" t="s">
        <v>89</v>
      </c>
      <c r="E40" s="405" t="s">
        <v>19</v>
      </c>
      <c r="F40" s="56">
        <v>5.2</v>
      </c>
      <c r="G40" s="56">
        <v>7.86</v>
      </c>
      <c r="H40" s="405" t="s">
        <v>477</v>
      </c>
      <c r="I40" s="405" t="s">
        <v>14</v>
      </c>
      <c r="J40" s="189">
        <v>44069</v>
      </c>
      <c r="K40" s="56" t="s">
        <v>535</v>
      </c>
      <c r="L40" s="58">
        <v>37.020699999999998</v>
      </c>
      <c r="M40" s="195" t="s">
        <v>2</v>
      </c>
      <c r="N40" s="195" t="s">
        <v>4</v>
      </c>
      <c r="O40" s="195" t="s">
        <v>4</v>
      </c>
      <c r="P40" s="185">
        <v>20.12</v>
      </c>
      <c r="Q40" s="185">
        <v>19.358000000000001</v>
      </c>
      <c r="R40" s="186">
        <v>45925</v>
      </c>
      <c r="S40" s="177">
        <f t="shared" si="13"/>
        <v>1856</v>
      </c>
      <c r="T40" s="171">
        <f t="shared" si="9"/>
        <v>17.662699999999997</v>
      </c>
      <c r="U40" s="175">
        <f t="shared" si="10"/>
        <v>17.652699999999996</v>
      </c>
      <c r="V40" s="176">
        <f t="shared" si="11"/>
        <v>5.1823590158045967</v>
      </c>
      <c r="W40" s="201" t="s">
        <v>568</v>
      </c>
      <c r="X40" s="201">
        <v>1.0900000000000001</v>
      </c>
      <c r="Y40" s="201">
        <f t="shared" si="12"/>
        <v>8.4457381465517241</v>
      </c>
      <c r="Z40" s="754" t="s">
        <v>572</v>
      </c>
      <c r="AA40" s="754"/>
    </row>
    <row r="41" spans="1:27" x14ac:dyDescent="0.25">
      <c r="A41" s="406"/>
      <c r="B41" s="365"/>
      <c r="C41" s="407"/>
      <c r="D41" s="385"/>
      <c r="E41" s="407"/>
      <c r="F41" s="56">
        <v>5.2</v>
      </c>
      <c r="G41" s="56">
        <v>7.86</v>
      </c>
      <c r="H41" s="407"/>
      <c r="I41" s="407"/>
      <c r="J41" s="189">
        <v>44069</v>
      </c>
      <c r="K41" s="56" t="s">
        <v>536</v>
      </c>
      <c r="L41" s="58">
        <v>37.048099999999998</v>
      </c>
      <c r="M41" s="195" t="s">
        <v>2</v>
      </c>
      <c r="N41" s="195" t="s">
        <v>4</v>
      </c>
      <c r="O41" s="195" t="s">
        <v>4</v>
      </c>
      <c r="P41" s="188">
        <v>20.375</v>
      </c>
      <c r="Q41" s="188">
        <v>19.876000000000001</v>
      </c>
      <c r="R41" s="186">
        <v>45925</v>
      </c>
      <c r="S41" s="183">
        <f t="shared" si="13"/>
        <v>1856</v>
      </c>
      <c r="T41" s="171">
        <f t="shared" si="9"/>
        <v>17.172099999999997</v>
      </c>
      <c r="U41" s="181">
        <f t="shared" si="10"/>
        <v>17.162099999999995</v>
      </c>
      <c r="V41" s="182">
        <f t="shared" si="11"/>
        <v>5.0383320208885927</v>
      </c>
      <c r="W41" s="201" t="s">
        <v>568</v>
      </c>
      <c r="X41" s="201">
        <v>0.94</v>
      </c>
      <c r="Y41" s="201">
        <f t="shared" si="12"/>
        <v>7.2834806034482753</v>
      </c>
      <c r="Z41" s="754" t="s">
        <v>572</v>
      </c>
      <c r="AA41" s="754"/>
    </row>
    <row r="42" spans="1:27" x14ac:dyDescent="0.25">
      <c r="A42" s="402">
        <v>17</v>
      </c>
      <c r="B42" s="403" t="s">
        <v>499</v>
      </c>
      <c r="C42" s="404" t="s">
        <v>12</v>
      </c>
      <c r="D42" s="404" t="s">
        <v>89</v>
      </c>
      <c r="E42" s="405" t="s">
        <v>19</v>
      </c>
      <c r="F42" s="56">
        <v>5.2</v>
      </c>
      <c r="G42" s="56">
        <v>7.86</v>
      </c>
      <c r="H42" s="405" t="s">
        <v>477</v>
      </c>
      <c r="I42" s="405" t="s">
        <v>14</v>
      </c>
      <c r="J42" s="189">
        <v>44070</v>
      </c>
      <c r="K42" s="56" t="s">
        <v>537</v>
      </c>
      <c r="L42" s="58">
        <v>37.002000000000002</v>
      </c>
      <c r="M42" s="195" t="s">
        <v>2</v>
      </c>
      <c r="N42" s="195" t="s">
        <v>4</v>
      </c>
      <c r="O42" s="195" t="s">
        <v>4</v>
      </c>
      <c r="P42" s="185">
        <v>24.283999999999999</v>
      </c>
      <c r="Q42" s="185">
        <v>23.7</v>
      </c>
      <c r="R42" s="186">
        <v>45925</v>
      </c>
      <c r="S42" s="177">
        <f t="shared" si="13"/>
        <v>1855</v>
      </c>
      <c r="T42" s="171">
        <f t="shared" si="9"/>
        <v>13.302000000000003</v>
      </c>
      <c r="U42" s="175">
        <f t="shared" si="10"/>
        <v>13.292000000000003</v>
      </c>
      <c r="V42" s="176">
        <f t="shared" si="11"/>
        <v>3.9042781118252821</v>
      </c>
      <c r="W42" s="201" t="s">
        <v>568</v>
      </c>
      <c r="X42" s="201">
        <v>1.43</v>
      </c>
      <c r="Y42" s="201">
        <f t="shared" si="12"/>
        <v>11.086161725067385</v>
      </c>
      <c r="Z42" s="754" t="s">
        <v>572</v>
      </c>
      <c r="AA42" s="754"/>
    </row>
    <row r="43" spans="1:27" x14ac:dyDescent="0.25">
      <c r="A43" s="406"/>
      <c r="B43" s="365"/>
      <c r="C43" s="407"/>
      <c r="D43" s="385"/>
      <c r="E43" s="407"/>
      <c r="F43" s="56">
        <v>5.2</v>
      </c>
      <c r="G43" s="56">
        <v>7.86</v>
      </c>
      <c r="H43" s="407"/>
      <c r="I43" s="407"/>
      <c r="J43" s="189">
        <v>44070</v>
      </c>
      <c r="K43" s="56" t="s">
        <v>538</v>
      </c>
      <c r="L43" s="58">
        <v>36.901600000000002</v>
      </c>
      <c r="M43" s="195" t="s">
        <v>2</v>
      </c>
      <c r="N43" s="195" t="s">
        <v>4</v>
      </c>
      <c r="O43" s="195" t="s">
        <v>4</v>
      </c>
      <c r="P43" s="188">
        <v>24.07</v>
      </c>
      <c r="Q43" s="188">
        <v>23.248999999999999</v>
      </c>
      <c r="R43" s="186">
        <v>45925</v>
      </c>
      <c r="S43" s="183">
        <f t="shared" si="13"/>
        <v>1855</v>
      </c>
      <c r="T43" s="171">
        <f t="shared" si="9"/>
        <v>13.652600000000003</v>
      </c>
      <c r="U43" s="181">
        <f t="shared" si="10"/>
        <v>13.642600000000003</v>
      </c>
      <c r="V43" s="182">
        <f t="shared" si="11"/>
        <v>4.0072603497131798</v>
      </c>
      <c r="W43" s="201" t="s">
        <v>568</v>
      </c>
      <c r="X43" s="201">
        <v>1.58</v>
      </c>
      <c r="Y43" s="201">
        <f t="shared" si="12"/>
        <v>12.249045822102428</v>
      </c>
      <c r="Z43" s="754" t="s">
        <v>572</v>
      </c>
      <c r="AA43" s="754"/>
    </row>
    <row r="44" spans="1:27" x14ac:dyDescent="0.25">
      <c r="A44" s="402">
        <v>18</v>
      </c>
      <c r="B44" s="403" t="s">
        <v>500</v>
      </c>
      <c r="C44" s="404" t="s">
        <v>12</v>
      </c>
      <c r="D44" s="404" t="s">
        <v>89</v>
      </c>
      <c r="E44" s="405" t="s">
        <v>19</v>
      </c>
      <c r="F44" s="56">
        <v>5.2</v>
      </c>
      <c r="G44" s="56">
        <v>7.86</v>
      </c>
      <c r="H44" s="405" t="s">
        <v>477</v>
      </c>
      <c r="I44" s="405" t="s">
        <v>14</v>
      </c>
      <c r="J44" s="189">
        <v>44072</v>
      </c>
      <c r="K44" s="56" t="s">
        <v>539</v>
      </c>
      <c r="L44" s="58">
        <v>36.982799999999997</v>
      </c>
      <c r="M44" s="180" t="s">
        <v>2</v>
      </c>
      <c r="N44" s="180" t="s">
        <v>4</v>
      </c>
      <c r="O44" s="180" t="s">
        <v>4</v>
      </c>
      <c r="P44" s="185">
        <v>27.983000000000001</v>
      </c>
      <c r="Q44" s="185">
        <v>25.86</v>
      </c>
      <c r="R44" s="186">
        <v>45930</v>
      </c>
      <c r="S44" s="177">
        <f t="shared" si="13"/>
        <v>1858</v>
      </c>
      <c r="T44" s="171">
        <f t="shared" si="9"/>
        <v>11.122799999999998</v>
      </c>
      <c r="U44" s="175">
        <f t="shared" si="10"/>
        <v>11.112799999999998</v>
      </c>
      <c r="V44" s="176">
        <f t="shared" si="11"/>
        <v>3.2589081173580627</v>
      </c>
      <c r="W44" s="201" t="s">
        <v>569</v>
      </c>
      <c r="X44" s="201">
        <v>0.09</v>
      </c>
      <c r="Y44" s="201">
        <f t="shared" si="12"/>
        <v>0.69660387513455335</v>
      </c>
      <c r="Z44" s="755" t="s">
        <v>573</v>
      </c>
      <c r="AA44" s="755"/>
    </row>
    <row r="45" spans="1:27" ht="13.8" thickBot="1" x14ac:dyDescent="0.3">
      <c r="A45" s="406"/>
      <c r="B45" s="365"/>
      <c r="C45" s="407"/>
      <c r="D45" s="385"/>
      <c r="E45" s="407"/>
      <c r="F45" s="60">
        <v>5.2</v>
      </c>
      <c r="G45" s="60">
        <v>7.86</v>
      </c>
      <c r="H45" s="407"/>
      <c r="I45" s="407"/>
      <c r="J45" s="189">
        <v>44072</v>
      </c>
      <c r="K45" s="60" t="s">
        <v>540</v>
      </c>
      <c r="L45" s="61">
        <v>37.094099999999997</v>
      </c>
      <c r="M45" s="180" t="s">
        <v>2</v>
      </c>
      <c r="N45" s="180" t="s">
        <v>4</v>
      </c>
      <c r="O45" s="180" t="s">
        <v>4</v>
      </c>
      <c r="P45" s="188">
        <v>27.120999999999999</v>
      </c>
      <c r="Q45" s="188">
        <v>25.027000000000001</v>
      </c>
      <c r="R45" s="186">
        <v>45930</v>
      </c>
      <c r="S45" s="183">
        <f t="shared" si="13"/>
        <v>1858</v>
      </c>
      <c r="T45" s="190">
        <f t="shared" si="9"/>
        <v>12.067099999999996</v>
      </c>
      <c r="U45" s="181">
        <f t="shared" si="10"/>
        <v>12.057099999999997</v>
      </c>
      <c r="V45" s="182">
        <f t="shared" si="11"/>
        <v>3.5358308492727208</v>
      </c>
      <c r="W45" s="201" t="s">
        <v>569</v>
      </c>
      <c r="X45" s="201">
        <v>0.14000000000000001</v>
      </c>
      <c r="Y45" s="201">
        <f>((X45*365)/S45)*39.4</f>
        <v>1.0836060279870829</v>
      </c>
      <c r="Z45" s="755" t="s">
        <v>573</v>
      </c>
      <c r="AA45" s="755"/>
    </row>
    <row r="46" spans="1:27" ht="14.4" customHeight="1" thickBot="1" x14ac:dyDescent="0.3">
      <c r="A46" s="416" t="s">
        <v>480</v>
      </c>
      <c r="B46" s="417"/>
      <c r="C46" s="417"/>
      <c r="D46" s="417"/>
      <c r="E46" s="417"/>
      <c r="F46" s="417"/>
      <c r="G46" s="417"/>
      <c r="H46" s="417"/>
      <c r="I46" s="417"/>
      <c r="J46" s="196"/>
      <c r="K46" s="196"/>
      <c r="L46" s="196"/>
      <c r="M46" s="196"/>
      <c r="N46" s="196"/>
      <c r="O46" s="196"/>
      <c r="P46" s="196"/>
      <c r="Q46" s="196"/>
      <c r="R46" s="196"/>
      <c r="S46" s="196"/>
      <c r="T46" s="196"/>
      <c r="U46" s="196"/>
      <c r="V46" s="196"/>
      <c r="W46" s="196"/>
      <c r="X46" s="196"/>
      <c r="Y46" s="196"/>
      <c r="Z46" s="196"/>
      <c r="AA46" s="197"/>
    </row>
    <row r="47" spans="1:27" x14ac:dyDescent="0.25">
      <c r="A47" s="402">
        <v>19</v>
      </c>
      <c r="B47" s="403" t="s">
        <v>501</v>
      </c>
      <c r="C47" s="404" t="s">
        <v>12</v>
      </c>
      <c r="D47" s="404" t="s">
        <v>89</v>
      </c>
      <c r="E47" s="405" t="s">
        <v>19</v>
      </c>
      <c r="F47" s="405">
        <v>2.5</v>
      </c>
      <c r="G47" s="405">
        <v>7.86</v>
      </c>
      <c r="H47" s="405" t="s">
        <v>542</v>
      </c>
      <c r="I47" s="405" t="s">
        <v>14</v>
      </c>
      <c r="J47" s="763">
        <v>44061</v>
      </c>
      <c r="K47" s="762" t="s">
        <v>541</v>
      </c>
      <c r="L47" s="762">
        <v>17.572900000000001</v>
      </c>
      <c r="M47" s="398" t="s">
        <v>123</v>
      </c>
      <c r="N47" s="398" t="s">
        <v>124</v>
      </c>
      <c r="O47" s="563" t="s">
        <v>120</v>
      </c>
      <c r="P47" s="762"/>
      <c r="Q47" s="762"/>
      <c r="R47" s="762"/>
      <c r="S47" s="561">
        <f t="shared" ref="S47:S54" si="14">R47-J47</f>
        <v>-44061</v>
      </c>
      <c r="T47" s="767">
        <f t="shared" ref="T47:T57" si="15">L47-Q47</f>
        <v>17.572900000000001</v>
      </c>
      <c r="U47" s="767">
        <f t="shared" ref="U47:U57" si="16">T47-0.01</f>
        <v>17.562899999999999</v>
      </c>
      <c r="V47" s="561"/>
      <c r="W47" s="201"/>
      <c r="X47" s="201"/>
      <c r="Y47" s="201"/>
      <c r="Z47" s="201"/>
      <c r="AA47" s="201"/>
    </row>
    <row r="48" spans="1:27" x14ac:dyDescent="0.25">
      <c r="A48" s="406"/>
      <c r="B48" s="365"/>
      <c r="C48" s="407"/>
      <c r="D48" s="385"/>
      <c r="E48" s="407"/>
      <c r="F48" s="405"/>
      <c r="G48" s="405"/>
      <c r="H48" s="407"/>
      <c r="I48" s="407"/>
      <c r="J48" s="414"/>
      <c r="K48" s="409"/>
      <c r="L48" s="409"/>
      <c r="M48" s="398"/>
      <c r="N48" s="398"/>
      <c r="O48" s="563"/>
      <c r="P48" s="409"/>
      <c r="Q48" s="409"/>
      <c r="R48" s="409"/>
      <c r="S48" s="520"/>
      <c r="T48" s="554"/>
      <c r="U48" s="554"/>
      <c r="V48" s="520"/>
      <c r="W48" s="201"/>
      <c r="X48" s="201"/>
      <c r="Y48" s="201"/>
      <c r="Z48" s="201"/>
      <c r="AA48" s="201"/>
    </row>
    <row r="49" spans="1:27" x14ac:dyDescent="0.25">
      <c r="A49" s="402">
        <v>20</v>
      </c>
      <c r="B49" s="403" t="s">
        <v>502</v>
      </c>
      <c r="C49" s="404" t="s">
        <v>12</v>
      </c>
      <c r="D49" s="404" t="s">
        <v>89</v>
      </c>
      <c r="E49" s="405" t="s">
        <v>19</v>
      </c>
      <c r="F49" s="62">
        <v>5.2</v>
      </c>
      <c r="G49" s="62">
        <v>7.86</v>
      </c>
      <c r="H49" s="405" t="s">
        <v>477</v>
      </c>
      <c r="I49" s="405" t="s">
        <v>14</v>
      </c>
      <c r="J49" s="189"/>
      <c r="K49" s="56"/>
      <c r="L49" s="58"/>
      <c r="M49" s="398" t="s">
        <v>123</v>
      </c>
      <c r="N49" s="398" t="s">
        <v>124</v>
      </c>
      <c r="O49" s="563" t="s">
        <v>120</v>
      </c>
      <c r="P49" s="185"/>
      <c r="Q49" s="185"/>
      <c r="R49" s="186"/>
      <c r="S49" s="177">
        <f t="shared" si="14"/>
        <v>0</v>
      </c>
      <c r="T49" s="171">
        <f t="shared" si="15"/>
        <v>0</v>
      </c>
      <c r="U49" s="175">
        <f t="shared" si="16"/>
        <v>-0.01</v>
      </c>
      <c r="V49" s="176"/>
      <c r="W49" s="201"/>
      <c r="X49" s="201"/>
      <c r="Y49" s="201"/>
      <c r="Z49" s="201"/>
      <c r="AA49" s="201"/>
    </row>
    <row r="50" spans="1:27" x14ac:dyDescent="0.25">
      <c r="A50" s="406"/>
      <c r="B50" s="365"/>
      <c r="C50" s="407"/>
      <c r="D50" s="385"/>
      <c r="E50" s="407"/>
      <c r="F50" s="60">
        <v>5.2</v>
      </c>
      <c r="G50" s="60">
        <v>7.86</v>
      </c>
      <c r="H50" s="407"/>
      <c r="I50" s="407"/>
      <c r="J50" s="189"/>
      <c r="K50" s="56"/>
      <c r="L50" s="58"/>
      <c r="M50" s="398"/>
      <c r="N50" s="398"/>
      <c r="O50" s="563"/>
      <c r="P50" s="188"/>
      <c r="Q50" s="188"/>
      <c r="R50" s="186"/>
      <c r="S50" s="183">
        <f t="shared" si="14"/>
        <v>0</v>
      </c>
      <c r="T50" s="171">
        <f t="shared" si="15"/>
        <v>0</v>
      </c>
      <c r="U50" s="181">
        <f t="shared" si="16"/>
        <v>-0.01</v>
      </c>
      <c r="V50" s="182"/>
      <c r="W50" s="201"/>
      <c r="X50" s="201"/>
      <c r="Y50" s="201"/>
      <c r="Z50" s="201"/>
      <c r="AA50" s="201"/>
    </row>
    <row r="51" spans="1:27" x14ac:dyDescent="0.25">
      <c r="A51" s="402">
        <v>21</v>
      </c>
      <c r="B51" s="403" t="s">
        <v>503</v>
      </c>
      <c r="C51" s="404" t="s">
        <v>12</v>
      </c>
      <c r="D51" s="404" t="s">
        <v>89</v>
      </c>
      <c r="E51" s="405" t="s">
        <v>19</v>
      </c>
      <c r="F51" s="62"/>
      <c r="G51" s="62"/>
      <c r="H51" s="405"/>
      <c r="I51" s="405"/>
      <c r="J51" s="189">
        <v>45021</v>
      </c>
      <c r="K51" s="57" t="s">
        <v>543</v>
      </c>
      <c r="L51" s="58">
        <v>36.992899999999999</v>
      </c>
      <c r="M51" s="167" t="s">
        <v>2</v>
      </c>
      <c r="N51" s="167" t="s">
        <v>4</v>
      </c>
      <c r="O51" s="563" t="s">
        <v>120</v>
      </c>
      <c r="P51" s="185">
        <v>37.151000000000003</v>
      </c>
      <c r="Q51" s="185">
        <v>36.429000000000002</v>
      </c>
      <c r="R51" s="189">
        <v>45928</v>
      </c>
      <c r="S51" s="183">
        <f t="shared" si="14"/>
        <v>907</v>
      </c>
      <c r="T51" s="171">
        <f t="shared" si="15"/>
        <v>0.56389999999999674</v>
      </c>
      <c r="U51" s="175">
        <f t="shared" si="16"/>
        <v>0.55389999999999673</v>
      </c>
      <c r="V51" s="176"/>
      <c r="W51" s="201"/>
      <c r="X51" s="201">
        <v>0</v>
      </c>
      <c r="Y51" s="201">
        <f>((X51*365)/S51)*39.4</f>
        <v>0</v>
      </c>
      <c r="Z51" s="201"/>
      <c r="AA51" s="201"/>
    </row>
    <row r="52" spans="1:27" x14ac:dyDescent="0.25">
      <c r="A52" s="406"/>
      <c r="B52" s="365"/>
      <c r="C52" s="407"/>
      <c r="D52" s="385"/>
      <c r="E52" s="407"/>
      <c r="F52" s="60"/>
      <c r="G52" s="60"/>
      <c r="H52" s="407"/>
      <c r="I52" s="407"/>
      <c r="J52" s="189">
        <v>45021</v>
      </c>
      <c r="K52" s="57" t="s">
        <v>544</v>
      </c>
      <c r="L52" s="58">
        <v>36.792700000000004</v>
      </c>
      <c r="M52" s="167" t="s">
        <v>2</v>
      </c>
      <c r="N52" s="167" t="s">
        <v>4</v>
      </c>
      <c r="O52" s="563"/>
      <c r="P52" s="188">
        <v>36.859000000000002</v>
      </c>
      <c r="Q52" s="188">
        <v>36.223999999999997</v>
      </c>
      <c r="R52" s="189">
        <v>45928</v>
      </c>
      <c r="S52" s="183">
        <f t="shared" si="14"/>
        <v>907</v>
      </c>
      <c r="T52" s="171">
        <f t="shared" si="15"/>
        <v>0.56870000000000687</v>
      </c>
      <c r="U52" s="181">
        <f t="shared" si="16"/>
        <v>0.55870000000000686</v>
      </c>
      <c r="V52" s="182"/>
      <c r="W52" s="201"/>
      <c r="X52" s="201">
        <v>0</v>
      </c>
      <c r="Y52" s="201">
        <f t="shared" ref="Y52:Y55" si="17">((X52*365)/S52)*39.4</f>
        <v>0</v>
      </c>
      <c r="Z52" s="201"/>
      <c r="AA52" s="201"/>
    </row>
    <row r="53" spans="1:27" x14ac:dyDescent="0.25">
      <c r="A53" s="402">
        <v>22</v>
      </c>
      <c r="B53" s="403" t="s">
        <v>504</v>
      </c>
      <c r="C53" s="404" t="s">
        <v>12</v>
      </c>
      <c r="D53" s="404" t="s">
        <v>89</v>
      </c>
      <c r="E53" s="405" t="s">
        <v>19</v>
      </c>
      <c r="F53" s="62">
        <v>5.2</v>
      </c>
      <c r="G53" s="62">
        <v>7.86</v>
      </c>
      <c r="H53" s="405" t="s">
        <v>477</v>
      </c>
      <c r="I53" s="405" t="s">
        <v>550</v>
      </c>
      <c r="J53" s="189">
        <v>45021</v>
      </c>
      <c r="K53" s="57" t="s">
        <v>545</v>
      </c>
      <c r="L53" s="58">
        <v>37.129399999999997</v>
      </c>
      <c r="M53" s="167" t="s">
        <v>2</v>
      </c>
      <c r="N53" s="167" t="s">
        <v>4</v>
      </c>
      <c r="O53" s="167" t="s">
        <v>4</v>
      </c>
      <c r="P53" s="185">
        <v>37.161999999999999</v>
      </c>
      <c r="Q53" s="185">
        <v>37.101999999999997</v>
      </c>
      <c r="R53" s="189">
        <v>45928</v>
      </c>
      <c r="S53" s="183">
        <f t="shared" si="14"/>
        <v>907</v>
      </c>
      <c r="T53" s="171">
        <f t="shared" si="15"/>
        <v>2.7400000000000091E-2</v>
      </c>
      <c r="U53" s="175">
        <f t="shared" si="16"/>
        <v>1.7400000000000089E-2</v>
      </c>
      <c r="V53" s="176">
        <f t="shared" ref="V53:V55" si="18">(U53*22270)/(S53*G53*F53)</f>
        <v>1.0452887795776493E-2</v>
      </c>
      <c r="W53" s="201"/>
      <c r="X53" s="201">
        <v>0</v>
      </c>
      <c r="Y53" s="201">
        <f t="shared" si="17"/>
        <v>0</v>
      </c>
      <c r="Z53" s="201"/>
      <c r="AA53" s="201"/>
    </row>
    <row r="54" spans="1:27" x14ac:dyDescent="0.25">
      <c r="A54" s="406"/>
      <c r="B54" s="365"/>
      <c r="C54" s="407"/>
      <c r="D54" s="385"/>
      <c r="E54" s="407"/>
      <c r="F54" s="60">
        <v>5.2</v>
      </c>
      <c r="G54" s="60">
        <v>7.86</v>
      </c>
      <c r="H54" s="407"/>
      <c r="I54" s="407"/>
      <c r="J54" s="189">
        <v>45021</v>
      </c>
      <c r="K54" s="57" t="s">
        <v>546</v>
      </c>
      <c r="L54" s="58">
        <v>36.9557</v>
      </c>
      <c r="M54" s="167" t="s">
        <v>2</v>
      </c>
      <c r="N54" s="167" t="s">
        <v>4</v>
      </c>
      <c r="O54" s="167" t="s">
        <v>4</v>
      </c>
      <c r="P54" s="188">
        <v>36.985999999999997</v>
      </c>
      <c r="Q54" s="188">
        <v>36.927999999999997</v>
      </c>
      <c r="R54" s="189">
        <v>45928</v>
      </c>
      <c r="S54" s="183">
        <f t="shared" si="14"/>
        <v>907</v>
      </c>
      <c r="T54" s="171">
        <f t="shared" si="15"/>
        <v>2.7700000000002944E-2</v>
      </c>
      <c r="U54" s="181">
        <f t="shared" si="16"/>
        <v>1.7700000000002943E-2</v>
      </c>
      <c r="V54" s="182">
        <f t="shared" si="18"/>
        <v>1.0633109999153663E-2</v>
      </c>
      <c r="W54" s="201"/>
      <c r="X54" s="201">
        <v>0</v>
      </c>
      <c r="Y54" s="201">
        <f t="shared" si="17"/>
        <v>0</v>
      </c>
      <c r="Z54" s="201"/>
      <c r="AA54" s="201"/>
    </row>
    <row r="55" spans="1:27" x14ac:dyDescent="0.25">
      <c r="A55" s="402">
        <v>23</v>
      </c>
      <c r="B55" s="403" t="s">
        <v>505</v>
      </c>
      <c r="C55" s="404" t="s">
        <v>12</v>
      </c>
      <c r="D55" s="404" t="s">
        <v>89</v>
      </c>
      <c r="E55" s="405" t="s">
        <v>19</v>
      </c>
      <c r="F55" s="405">
        <v>2.5</v>
      </c>
      <c r="G55" s="405">
        <v>7.86</v>
      </c>
      <c r="H55" s="405" t="s">
        <v>548</v>
      </c>
      <c r="I55" s="405" t="s">
        <v>550</v>
      </c>
      <c r="J55" s="411">
        <v>45023</v>
      </c>
      <c r="K55" s="411" t="s">
        <v>547</v>
      </c>
      <c r="L55" s="413">
        <v>17.569700000000001</v>
      </c>
      <c r="M55" s="372" t="s">
        <v>2</v>
      </c>
      <c r="N55" s="372" t="s">
        <v>4</v>
      </c>
      <c r="O55" s="372" t="s">
        <v>4</v>
      </c>
      <c r="P55" s="413">
        <v>17.593</v>
      </c>
      <c r="Q55" s="413">
        <v>17.542999999999999</v>
      </c>
      <c r="R55" s="411">
        <v>45928</v>
      </c>
      <c r="S55" s="556">
        <f>R55-J55</f>
        <v>905</v>
      </c>
      <c r="T55" s="555">
        <f t="shared" si="15"/>
        <v>2.6700000000001722E-2</v>
      </c>
      <c r="U55" s="555">
        <f t="shared" si="16"/>
        <v>1.670000000000172E-2</v>
      </c>
      <c r="V55" s="556">
        <f t="shared" si="18"/>
        <v>2.0913443830573055E-2</v>
      </c>
      <c r="W55" s="201"/>
      <c r="X55" s="755">
        <v>0</v>
      </c>
      <c r="Y55" s="755">
        <f t="shared" si="17"/>
        <v>0</v>
      </c>
      <c r="Z55" s="201"/>
      <c r="AA55" s="201"/>
    </row>
    <row r="56" spans="1:27" ht="13.8" thickBot="1" x14ac:dyDescent="0.3">
      <c r="A56" s="406"/>
      <c r="B56" s="365"/>
      <c r="C56" s="407"/>
      <c r="D56" s="385"/>
      <c r="E56" s="407"/>
      <c r="F56" s="405"/>
      <c r="G56" s="405"/>
      <c r="H56" s="407"/>
      <c r="I56" s="407"/>
      <c r="J56" s="414"/>
      <c r="K56" s="414"/>
      <c r="L56" s="415"/>
      <c r="M56" s="771"/>
      <c r="N56" s="771"/>
      <c r="O56" s="771"/>
      <c r="P56" s="415"/>
      <c r="Q56" s="415"/>
      <c r="R56" s="414"/>
      <c r="S56" s="520"/>
      <c r="T56" s="554"/>
      <c r="U56" s="554"/>
      <c r="V56" s="520"/>
      <c r="W56" s="201"/>
      <c r="X56" s="755"/>
      <c r="Y56" s="755"/>
      <c r="Z56" s="201"/>
      <c r="AA56" s="201"/>
    </row>
    <row r="57" spans="1:27" x14ac:dyDescent="0.25">
      <c r="A57" s="402">
        <v>24</v>
      </c>
      <c r="B57" s="403" t="s">
        <v>506</v>
      </c>
      <c r="C57" s="404" t="s">
        <v>12</v>
      </c>
      <c r="D57" s="404" t="s">
        <v>89</v>
      </c>
      <c r="E57" s="405" t="s">
        <v>19</v>
      </c>
      <c r="F57" s="405">
        <v>2.5</v>
      </c>
      <c r="G57" s="405">
        <v>7.86</v>
      </c>
      <c r="H57" s="405" t="s">
        <v>551</v>
      </c>
      <c r="I57" s="405" t="s">
        <v>550</v>
      </c>
      <c r="J57" s="411">
        <v>45023</v>
      </c>
      <c r="K57" s="411" t="s">
        <v>549</v>
      </c>
      <c r="L57" s="413">
        <v>17.581800000000001</v>
      </c>
      <c r="M57" s="398" t="s">
        <v>123</v>
      </c>
      <c r="N57" s="398" t="s">
        <v>124</v>
      </c>
      <c r="O57" s="563" t="s">
        <v>120</v>
      </c>
      <c r="P57" s="769"/>
      <c r="Q57" s="769"/>
      <c r="R57" s="769"/>
      <c r="S57" s="557">
        <f>R57-J57</f>
        <v>-45023</v>
      </c>
      <c r="T57" s="555">
        <f t="shared" si="15"/>
        <v>17.581800000000001</v>
      </c>
      <c r="U57" s="555">
        <f t="shared" si="16"/>
        <v>17.5718</v>
      </c>
      <c r="V57" s="556"/>
      <c r="W57" s="201"/>
      <c r="X57" s="201"/>
      <c r="Y57" s="201"/>
      <c r="Z57" s="201"/>
      <c r="AA57" s="201"/>
    </row>
    <row r="58" spans="1:27" ht="13.8" thickBot="1" x14ac:dyDescent="0.3">
      <c r="A58" s="406"/>
      <c r="B58" s="365"/>
      <c r="C58" s="407"/>
      <c r="D58" s="385"/>
      <c r="E58" s="407"/>
      <c r="F58" s="405"/>
      <c r="G58" s="405"/>
      <c r="H58" s="407"/>
      <c r="I58" s="407"/>
      <c r="J58" s="414"/>
      <c r="K58" s="766"/>
      <c r="L58" s="772"/>
      <c r="M58" s="398"/>
      <c r="N58" s="398"/>
      <c r="O58" s="563"/>
      <c r="P58" s="770"/>
      <c r="Q58" s="770"/>
      <c r="R58" s="770"/>
      <c r="S58" s="599"/>
      <c r="T58" s="768"/>
      <c r="U58" s="768"/>
      <c r="V58" s="599"/>
      <c r="W58" s="201"/>
      <c r="X58" s="201"/>
      <c r="Y58" s="201"/>
      <c r="Z58" s="201"/>
      <c r="AA58" s="201"/>
    </row>
    <row r="59" spans="1:27" ht="14.4" customHeight="1" thickBot="1" x14ac:dyDescent="0.3">
      <c r="A59" s="416" t="s">
        <v>481</v>
      </c>
      <c r="B59" s="417"/>
      <c r="C59" s="417"/>
      <c r="D59" s="417"/>
      <c r="E59" s="417"/>
      <c r="F59" s="417"/>
      <c r="G59" s="417"/>
      <c r="H59" s="417"/>
      <c r="I59" s="417"/>
      <c r="J59" s="239"/>
      <c r="K59" s="196"/>
      <c r="L59" s="196"/>
      <c r="M59" s="196"/>
      <c r="N59" s="196"/>
      <c r="O59" s="196"/>
      <c r="P59" s="196"/>
      <c r="Q59" s="196"/>
      <c r="R59" s="196"/>
      <c r="S59" s="196"/>
      <c r="T59" s="196"/>
      <c r="U59" s="196"/>
      <c r="V59" s="196"/>
      <c r="W59" s="196"/>
      <c r="X59" s="196"/>
      <c r="Y59" s="196"/>
      <c r="Z59" s="196"/>
      <c r="AA59" s="197"/>
    </row>
    <row r="60" spans="1:27" x14ac:dyDescent="0.25">
      <c r="A60" s="402">
        <v>25</v>
      </c>
      <c r="B60" s="403" t="s">
        <v>507</v>
      </c>
      <c r="C60" s="404" t="s">
        <v>552</v>
      </c>
      <c r="D60" s="404"/>
      <c r="E60" s="405"/>
      <c r="F60" s="762"/>
      <c r="G60" s="762"/>
      <c r="H60" s="405"/>
      <c r="I60" s="405"/>
      <c r="J60" s="57"/>
      <c r="K60" s="56"/>
      <c r="L60" s="58"/>
      <c r="M60" s="398" t="s">
        <v>123</v>
      </c>
      <c r="N60" s="398" t="s">
        <v>124</v>
      </c>
      <c r="O60" s="563" t="s">
        <v>120</v>
      </c>
      <c r="P60" s="185"/>
      <c r="Q60" s="185"/>
      <c r="R60" s="186"/>
      <c r="S60" s="177"/>
      <c r="T60" s="171"/>
      <c r="U60" s="175"/>
      <c r="V60" s="176"/>
      <c r="W60" s="201"/>
      <c r="X60" s="201"/>
      <c r="Y60" s="201"/>
      <c r="Z60" s="201"/>
      <c r="AA60" s="201"/>
    </row>
    <row r="61" spans="1:27" x14ac:dyDescent="0.25">
      <c r="A61" s="406"/>
      <c r="B61" s="365"/>
      <c r="C61" s="407"/>
      <c r="D61" s="385"/>
      <c r="E61" s="407"/>
      <c r="F61" s="409"/>
      <c r="G61" s="409"/>
      <c r="H61" s="407"/>
      <c r="I61" s="407"/>
      <c r="J61" s="57"/>
      <c r="K61" s="56"/>
      <c r="L61" s="58"/>
      <c r="M61" s="398"/>
      <c r="N61" s="398"/>
      <c r="O61" s="563"/>
      <c r="P61" s="188"/>
      <c r="Q61" s="188"/>
      <c r="R61" s="186"/>
      <c r="S61" s="183"/>
      <c r="T61" s="171"/>
      <c r="U61" s="181"/>
      <c r="V61" s="182"/>
      <c r="W61" s="201"/>
      <c r="X61" s="201"/>
      <c r="Y61" s="201"/>
      <c r="Z61" s="201"/>
      <c r="AA61" s="201"/>
    </row>
    <row r="62" spans="1:27" x14ac:dyDescent="0.25">
      <c r="A62" s="402">
        <v>26</v>
      </c>
      <c r="B62" s="403" t="s">
        <v>508</v>
      </c>
      <c r="C62" s="404" t="s">
        <v>553</v>
      </c>
      <c r="D62" s="404" t="s">
        <v>36</v>
      </c>
      <c r="E62" s="405" t="s">
        <v>19</v>
      </c>
      <c r="F62" s="722">
        <v>2.5</v>
      </c>
      <c r="G62" s="722">
        <v>7.86</v>
      </c>
      <c r="H62" s="405" t="s">
        <v>554</v>
      </c>
      <c r="I62" s="405" t="s">
        <v>14</v>
      </c>
      <c r="J62" s="411">
        <v>45024</v>
      </c>
      <c r="K62" s="407" t="s">
        <v>556</v>
      </c>
      <c r="L62" s="413">
        <v>17.422599999999999</v>
      </c>
      <c r="M62" s="372" t="s">
        <v>2</v>
      </c>
      <c r="N62" s="372" t="s">
        <v>4</v>
      </c>
      <c r="O62" s="372" t="s">
        <v>4</v>
      </c>
      <c r="P62" s="558">
        <v>17.443000000000001</v>
      </c>
      <c r="Q62" s="558">
        <v>17.309999999999999</v>
      </c>
      <c r="R62" s="557">
        <v>45935</v>
      </c>
      <c r="S62" s="556">
        <f t="shared" ref="S62" si="19">R62-J62</f>
        <v>911</v>
      </c>
      <c r="T62" s="555">
        <f t="shared" ref="T62" si="20">L62-Q62</f>
        <v>0.11260000000000048</v>
      </c>
      <c r="U62" s="555">
        <f t="shared" ref="U62" si="21">T62-0.01</f>
        <v>0.10260000000000048</v>
      </c>
      <c r="V62" s="556">
        <f t="shared" ref="V62" si="22">(U62*22270)/(S62*G62*F62)</f>
        <v>0.12763995609220696</v>
      </c>
      <c r="W62" s="201"/>
      <c r="X62" s="755">
        <v>0</v>
      </c>
      <c r="Y62" s="755">
        <f t="shared" ref="Y62" si="23">((X62*365)/S62)*39.4</f>
        <v>0</v>
      </c>
      <c r="Z62" s="201"/>
      <c r="AA62" s="201"/>
    </row>
    <row r="63" spans="1:27" ht="13.8" thickBot="1" x14ac:dyDescent="0.3">
      <c r="A63" s="406"/>
      <c r="B63" s="365"/>
      <c r="C63" s="407"/>
      <c r="D63" s="385"/>
      <c r="E63" s="407"/>
      <c r="F63" s="761"/>
      <c r="G63" s="761"/>
      <c r="H63" s="407"/>
      <c r="I63" s="407"/>
      <c r="J63" s="766"/>
      <c r="K63" s="761"/>
      <c r="L63" s="772"/>
      <c r="M63" s="771"/>
      <c r="N63" s="771"/>
      <c r="O63" s="771"/>
      <c r="P63" s="777"/>
      <c r="Q63" s="777"/>
      <c r="R63" s="778"/>
      <c r="S63" s="599"/>
      <c r="T63" s="768"/>
      <c r="U63" s="768"/>
      <c r="V63" s="599"/>
      <c r="W63" s="201"/>
      <c r="X63" s="776"/>
      <c r="Y63" s="755"/>
      <c r="Z63" s="201"/>
      <c r="AA63" s="201"/>
    </row>
    <row r="64" spans="1:27" ht="14.4" customHeight="1" thickBot="1" x14ac:dyDescent="0.3">
      <c r="A64" s="416" t="s">
        <v>482</v>
      </c>
      <c r="B64" s="417"/>
      <c r="C64" s="417"/>
      <c r="D64" s="417"/>
      <c r="E64" s="417"/>
      <c r="F64" s="417"/>
      <c r="G64" s="417"/>
      <c r="H64" s="417"/>
      <c r="I64" s="417"/>
      <c r="J64" s="196"/>
      <c r="K64" s="196"/>
      <c r="L64" s="196"/>
      <c r="M64" s="196"/>
      <c r="N64" s="196"/>
      <c r="O64" s="196"/>
      <c r="P64" s="196"/>
      <c r="Q64" s="196"/>
      <c r="R64" s="196"/>
      <c r="S64" s="196"/>
      <c r="T64" s="196"/>
      <c r="U64" s="196"/>
      <c r="V64" s="196"/>
      <c r="W64" s="196"/>
      <c r="X64" s="196"/>
      <c r="Y64" s="196"/>
      <c r="Z64" s="196"/>
      <c r="AA64" s="197"/>
    </row>
    <row r="65" spans="1:27" ht="13.2" customHeight="1" x14ac:dyDescent="0.25">
      <c r="A65" s="402">
        <v>27</v>
      </c>
      <c r="B65" s="403" t="s">
        <v>509</v>
      </c>
      <c r="C65" s="404" t="s">
        <v>553</v>
      </c>
      <c r="D65" s="404" t="s">
        <v>36</v>
      </c>
      <c r="E65" s="405" t="s">
        <v>19</v>
      </c>
      <c r="F65" s="762">
        <v>2.5</v>
      </c>
      <c r="G65" s="762">
        <v>7.86</v>
      </c>
      <c r="H65" s="405" t="s">
        <v>554</v>
      </c>
      <c r="I65" s="405" t="s">
        <v>14</v>
      </c>
      <c r="J65" s="763">
        <v>45024</v>
      </c>
      <c r="K65" s="762" t="s">
        <v>557</v>
      </c>
      <c r="L65" s="773">
        <v>17.779599999999999</v>
      </c>
      <c r="M65" s="372" t="s">
        <v>2</v>
      </c>
      <c r="N65" s="372" t="s">
        <v>4</v>
      </c>
      <c r="O65" s="372" t="s">
        <v>4</v>
      </c>
      <c r="P65" s="774">
        <v>17.838000000000001</v>
      </c>
      <c r="Q65" s="774">
        <v>17.698</v>
      </c>
      <c r="R65" s="775">
        <v>45934</v>
      </c>
      <c r="S65" s="561">
        <f t="shared" ref="S65" si="24">R65-J65</f>
        <v>910</v>
      </c>
      <c r="T65" s="767">
        <f t="shared" ref="T65" si="25">L65-Q65</f>
        <v>8.1599999999998118E-2</v>
      </c>
      <c r="U65" s="767">
        <f t="shared" ref="U65" si="26">T65-0.01</f>
        <v>7.1599999999998123E-2</v>
      </c>
      <c r="V65" s="561">
        <f t="shared" ref="V65" si="27">(U65*22270)/(S65*G65*F65)</f>
        <v>8.9172161172158843E-2</v>
      </c>
      <c r="W65" s="201"/>
      <c r="X65" s="756">
        <v>0</v>
      </c>
      <c r="Y65" s="755">
        <f t="shared" ref="Y65" si="28">((X65*365)/S65)*39.4</f>
        <v>0</v>
      </c>
      <c r="Z65" s="201"/>
      <c r="AA65" s="201"/>
    </row>
    <row r="66" spans="1:27" ht="13.8" thickBot="1" x14ac:dyDescent="0.3">
      <c r="A66" s="406"/>
      <c r="B66" s="365"/>
      <c r="C66" s="407"/>
      <c r="D66" s="385"/>
      <c r="E66" s="407"/>
      <c r="F66" s="409"/>
      <c r="G66" s="409"/>
      <c r="H66" s="407"/>
      <c r="I66" s="407"/>
      <c r="J66" s="414"/>
      <c r="K66" s="409"/>
      <c r="L66" s="415"/>
      <c r="M66" s="771"/>
      <c r="N66" s="771"/>
      <c r="O66" s="771"/>
      <c r="P66" s="549"/>
      <c r="Q66" s="549"/>
      <c r="R66" s="551"/>
      <c r="S66" s="520"/>
      <c r="T66" s="554"/>
      <c r="U66" s="554"/>
      <c r="V66" s="520"/>
      <c r="W66" s="201"/>
      <c r="X66" s="755"/>
      <c r="Y66" s="755"/>
      <c r="Z66" s="201"/>
      <c r="AA66" s="201"/>
    </row>
    <row r="67" spans="1:27" x14ac:dyDescent="0.25">
      <c r="A67" s="402">
        <v>28</v>
      </c>
      <c r="B67" s="403" t="s">
        <v>117</v>
      </c>
      <c r="C67" s="404" t="s">
        <v>552</v>
      </c>
      <c r="D67" s="404"/>
      <c r="E67" s="405"/>
      <c r="F67" s="407"/>
      <c r="G67" s="407"/>
      <c r="H67" s="405"/>
      <c r="I67" s="405"/>
      <c r="J67" s="57"/>
      <c r="K67" s="56"/>
      <c r="L67" s="58"/>
      <c r="M67" s="398" t="s">
        <v>123</v>
      </c>
      <c r="N67" s="398" t="s">
        <v>124</v>
      </c>
      <c r="O67" s="563" t="s">
        <v>120</v>
      </c>
      <c r="P67" s="185"/>
      <c r="Q67" s="185"/>
      <c r="R67" s="186"/>
      <c r="S67" s="177"/>
      <c r="T67" s="171"/>
      <c r="U67" s="175"/>
      <c r="V67" s="176"/>
      <c r="W67" s="201"/>
      <c r="X67" s="201"/>
      <c r="Y67" s="201"/>
      <c r="Z67" s="201"/>
      <c r="AA67" s="201"/>
    </row>
    <row r="68" spans="1:27" ht="13.8" thickBot="1" x14ac:dyDescent="0.3">
      <c r="A68" s="406"/>
      <c r="B68" s="365"/>
      <c r="C68" s="407"/>
      <c r="D68" s="385"/>
      <c r="E68" s="407"/>
      <c r="F68" s="761"/>
      <c r="G68" s="761"/>
      <c r="H68" s="407"/>
      <c r="I68" s="407"/>
      <c r="J68" s="57"/>
      <c r="K68" s="56"/>
      <c r="L68" s="58"/>
      <c r="M68" s="398"/>
      <c r="N68" s="398"/>
      <c r="O68" s="563"/>
      <c r="P68" s="188"/>
      <c r="Q68" s="188"/>
      <c r="R68" s="186"/>
      <c r="S68" s="183"/>
      <c r="T68" s="171"/>
      <c r="U68" s="181"/>
      <c r="V68" s="182"/>
      <c r="W68" s="201"/>
      <c r="X68" s="201"/>
      <c r="Y68" s="201"/>
      <c r="Z68" s="201"/>
      <c r="AA68" s="201"/>
    </row>
    <row r="69" spans="1:27" ht="14.4" customHeight="1" thickBot="1" x14ac:dyDescent="0.3">
      <c r="A69" s="416" t="s">
        <v>483</v>
      </c>
      <c r="B69" s="417"/>
      <c r="C69" s="417"/>
      <c r="D69" s="417"/>
      <c r="E69" s="417"/>
      <c r="F69" s="417"/>
      <c r="G69" s="417"/>
      <c r="H69" s="417"/>
      <c r="I69" s="417"/>
      <c r="J69" s="196"/>
      <c r="K69" s="196"/>
      <c r="L69" s="196"/>
      <c r="M69" s="196"/>
      <c r="N69" s="196"/>
      <c r="O69" s="196"/>
      <c r="P69" s="196"/>
      <c r="Q69" s="196"/>
      <c r="R69" s="196"/>
      <c r="S69" s="196"/>
      <c r="T69" s="196"/>
      <c r="U69" s="196"/>
      <c r="V69" s="196"/>
      <c r="W69" s="196"/>
      <c r="X69" s="196"/>
      <c r="Y69" s="196"/>
      <c r="Z69" s="196"/>
      <c r="AA69" s="197"/>
    </row>
    <row r="70" spans="1:27" x14ac:dyDescent="0.25">
      <c r="A70" s="757">
        <v>29</v>
      </c>
      <c r="B70" s="758" t="s">
        <v>510</v>
      </c>
      <c r="C70" s="759" t="s">
        <v>555</v>
      </c>
      <c r="D70" s="759" t="s">
        <v>89</v>
      </c>
      <c r="E70" s="760" t="s">
        <v>19</v>
      </c>
      <c r="F70" s="62">
        <v>5.2</v>
      </c>
      <c r="G70" s="62">
        <v>7.86</v>
      </c>
      <c r="H70" s="760" t="s">
        <v>558</v>
      </c>
      <c r="I70" s="760" t="s">
        <v>550</v>
      </c>
      <c r="J70" s="57">
        <v>45021</v>
      </c>
      <c r="K70" s="56" t="s">
        <v>559</v>
      </c>
      <c r="L70" s="58">
        <v>37.079799999999999</v>
      </c>
      <c r="M70" s="167" t="s">
        <v>2</v>
      </c>
      <c r="N70" s="167" t="s">
        <v>4</v>
      </c>
      <c r="O70" s="167" t="s">
        <v>4</v>
      </c>
      <c r="P70" s="185">
        <v>31.497</v>
      </c>
      <c r="Q70" s="185">
        <v>30.581</v>
      </c>
      <c r="R70" s="186">
        <v>45931</v>
      </c>
      <c r="S70" s="177">
        <f t="shared" ref="S70:S71" si="29">R70-J70</f>
        <v>910</v>
      </c>
      <c r="T70" s="171">
        <f t="shared" ref="T70:T71" si="30">L70-Q70</f>
        <v>6.4987999999999992</v>
      </c>
      <c r="U70" s="175">
        <f t="shared" ref="U70:U71" si="31">T70-0.01</f>
        <v>6.4887999999999995</v>
      </c>
      <c r="V70" s="176">
        <f t="shared" ref="V70:V71" si="32">(U70*22270)/(S70*G70*F70)</f>
        <v>3.8852352775429693</v>
      </c>
      <c r="W70" s="201"/>
      <c r="X70" s="756">
        <v>0</v>
      </c>
      <c r="Y70" s="755">
        <f t="shared" ref="Y70" si="33">((X70*365)/S70)*39.4</f>
        <v>0</v>
      </c>
      <c r="Z70" s="201"/>
      <c r="AA70" s="201"/>
    </row>
    <row r="71" spans="1:27" x14ac:dyDescent="0.25">
      <c r="A71" s="402"/>
      <c r="B71" s="403"/>
      <c r="C71" s="405"/>
      <c r="D71" s="404"/>
      <c r="E71" s="405"/>
      <c r="F71" s="56">
        <v>5.2</v>
      </c>
      <c r="G71" s="56">
        <v>7.86</v>
      </c>
      <c r="H71" s="405"/>
      <c r="I71" s="405"/>
      <c r="J71" s="57">
        <v>45021</v>
      </c>
      <c r="K71" s="56" t="s">
        <v>560</v>
      </c>
      <c r="L71" s="58">
        <v>37.035499999999999</v>
      </c>
      <c r="M71" s="167" t="s">
        <v>2</v>
      </c>
      <c r="N71" s="167" t="s">
        <v>4</v>
      </c>
      <c r="O71" s="167" t="s">
        <v>4</v>
      </c>
      <c r="P71" s="185">
        <v>32.109000000000002</v>
      </c>
      <c r="Q71" s="185">
        <v>31.504999999999999</v>
      </c>
      <c r="R71" s="186">
        <v>45931</v>
      </c>
      <c r="S71" s="176">
        <f t="shared" si="29"/>
        <v>910</v>
      </c>
      <c r="T71" s="171">
        <f t="shared" si="30"/>
        <v>5.5305</v>
      </c>
      <c r="U71" s="175">
        <f t="shared" si="31"/>
        <v>5.5205000000000002</v>
      </c>
      <c r="V71" s="182">
        <f t="shared" si="32"/>
        <v>3.305455762186531</v>
      </c>
      <c r="W71" s="201"/>
      <c r="X71" s="755"/>
      <c r="Y71" s="755"/>
      <c r="Z71" s="201"/>
      <c r="AA71" s="201"/>
    </row>
  </sheetData>
  <mergeCells count="356">
    <mergeCell ref="X55:X56"/>
    <mergeCell ref="Y55:Y56"/>
    <mergeCell ref="X62:X63"/>
    <mergeCell ref="Y62:Y63"/>
    <mergeCell ref="X65:X66"/>
    <mergeCell ref="Y65:Y66"/>
    <mergeCell ref="X70:X71"/>
    <mergeCell ref="Y70:Y71"/>
    <mergeCell ref="M67:M68"/>
    <mergeCell ref="N67:N68"/>
    <mergeCell ref="O67:O68"/>
    <mergeCell ref="N62:N63"/>
    <mergeCell ref="O62:O63"/>
    <mergeCell ref="P62:P63"/>
    <mergeCell ref="Q62:Q63"/>
    <mergeCell ref="R62:R63"/>
    <mergeCell ref="S62:S63"/>
    <mergeCell ref="T62:T63"/>
    <mergeCell ref="U62:U63"/>
    <mergeCell ref="V62:V63"/>
    <mergeCell ref="S65:S66"/>
    <mergeCell ref="T65:T66"/>
    <mergeCell ref="U65:U66"/>
    <mergeCell ref="V65:V66"/>
    <mergeCell ref="M36:M37"/>
    <mergeCell ref="N36:N37"/>
    <mergeCell ref="O36:O37"/>
    <mergeCell ref="M49:M50"/>
    <mergeCell ref="N49:N50"/>
    <mergeCell ref="O49:O50"/>
    <mergeCell ref="M60:M61"/>
    <mergeCell ref="N60:N61"/>
    <mergeCell ref="O60:O61"/>
    <mergeCell ref="O51:O52"/>
    <mergeCell ref="J65:J66"/>
    <mergeCell ref="K65:K66"/>
    <mergeCell ref="L65:L66"/>
    <mergeCell ref="M65:M66"/>
    <mergeCell ref="N65:N66"/>
    <mergeCell ref="O65:O66"/>
    <mergeCell ref="P65:P66"/>
    <mergeCell ref="Q65:Q66"/>
    <mergeCell ref="R65:R66"/>
    <mergeCell ref="J62:J63"/>
    <mergeCell ref="K62:K63"/>
    <mergeCell ref="L62:L63"/>
    <mergeCell ref="M62:M63"/>
    <mergeCell ref="L57:L58"/>
    <mergeCell ref="M57:M58"/>
    <mergeCell ref="N57:N58"/>
    <mergeCell ref="O57:O58"/>
    <mergeCell ref="P57:P58"/>
    <mergeCell ref="Q57:Q58"/>
    <mergeCell ref="R57:R58"/>
    <mergeCell ref="L55:L56"/>
    <mergeCell ref="M55:M56"/>
    <mergeCell ref="N55:N56"/>
    <mergeCell ref="O55:O56"/>
    <mergeCell ref="P55:P56"/>
    <mergeCell ref="Q55:Q56"/>
    <mergeCell ref="R55:R56"/>
    <mergeCell ref="R47:R48"/>
    <mergeCell ref="S47:S48"/>
    <mergeCell ref="T47:T48"/>
    <mergeCell ref="U47:U48"/>
    <mergeCell ref="V47:V48"/>
    <mergeCell ref="S57:S58"/>
    <mergeCell ref="T57:T58"/>
    <mergeCell ref="U57:U58"/>
    <mergeCell ref="V57:V58"/>
    <mergeCell ref="S55:S56"/>
    <mergeCell ref="T55:T56"/>
    <mergeCell ref="U55:U56"/>
    <mergeCell ref="V55:V56"/>
    <mergeCell ref="M17:M18"/>
    <mergeCell ref="N17:N18"/>
    <mergeCell ref="O17:O18"/>
    <mergeCell ref="A59:I59"/>
    <mergeCell ref="A46:I46"/>
    <mergeCell ref="A27:I27"/>
    <mergeCell ref="F55:F56"/>
    <mergeCell ref="G55:G56"/>
    <mergeCell ref="F57:F58"/>
    <mergeCell ref="G57:G58"/>
    <mergeCell ref="F47:F48"/>
    <mergeCell ref="G47:G48"/>
    <mergeCell ref="K55:K56"/>
    <mergeCell ref="J55:J56"/>
    <mergeCell ref="J57:J58"/>
    <mergeCell ref="K47:K48"/>
    <mergeCell ref="L47:L48"/>
    <mergeCell ref="M47:M48"/>
    <mergeCell ref="N47:N48"/>
    <mergeCell ref="O47:O48"/>
    <mergeCell ref="K57:K58"/>
    <mergeCell ref="A21:A22"/>
    <mergeCell ref="B21:B22"/>
    <mergeCell ref="C21:C22"/>
    <mergeCell ref="A7:AA7"/>
    <mergeCell ref="R2:R3"/>
    <mergeCell ref="S2:S3"/>
    <mergeCell ref="T2:T3"/>
    <mergeCell ref="U2:U3"/>
    <mergeCell ref="V2:V3"/>
    <mergeCell ref="W2:W3"/>
    <mergeCell ref="M9:M10"/>
    <mergeCell ref="N9:N10"/>
    <mergeCell ref="O9:O10"/>
    <mergeCell ref="A8:I8"/>
    <mergeCell ref="H9:H10"/>
    <mergeCell ref="I9:I10"/>
    <mergeCell ref="A1:L1"/>
    <mergeCell ref="M1:O1"/>
    <mergeCell ref="P1:AA1"/>
    <mergeCell ref="A2:C2"/>
    <mergeCell ref="D2:L2"/>
    <mergeCell ref="M2:M3"/>
    <mergeCell ref="N2:N3"/>
    <mergeCell ref="O2:O3"/>
    <mergeCell ref="P2:P3"/>
    <mergeCell ref="Q2:Q3"/>
    <mergeCell ref="X2:X3"/>
    <mergeCell ref="Y2:Y3"/>
    <mergeCell ref="Z2:AA3"/>
    <mergeCell ref="A11:A12"/>
    <mergeCell ref="B11:B12"/>
    <mergeCell ref="C11:C12"/>
    <mergeCell ref="D11:D12"/>
    <mergeCell ref="E11:E12"/>
    <mergeCell ref="H11:H12"/>
    <mergeCell ref="I11:I12"/>
    <mergeCell ref="A9:A10"/>
    <mergeCell ref="B9:B10"/>
    <mergeCell ref="C9:C10"/>
    <mergeCell ref="D9:D10"/>
    <mergeCell ref="E9:E10"/>
    <mergeCell ref="H13:H14"/>
    <mergeCell ref="I13:I14"/>
    <mergeCell ref="A15:A16"/>
    <mergeCell ref="B15:B16"/>
    <mergeCell ref="C15:C16"/>
    <mergeCell ref="D15:D16"/>
    <mergeCell ref="E15:E16"/>
    <mergeCell ref="H15:H16"/>
    <mergeCell ref="I15:I16"/>
    <mergeCell ref="A13:A14"/>
    <mergeCell ref="B13:B14"/>
    <mergeCell ref="C13:C14"/>
    <mergeCell ref="D13:D14"/>
    <mergeCell ref="E13:E14"/>
    <mergeCell ref="D21:D22"/>
    <mergeCell ref="E21:E22"/>
    <mergeCell ref="H17:H18"/>
    <mergeCell ref="I17:I18"/>
    <mergeCell ref="A19:A20"/>
    <mergeCell ref="B19:B20"/>
    <mergeCell ref="C19:C20"/>
    <mergeCell ref="D19:D20"/>
    <mergeCell ref="E19:E20"/>
    <mergeCell ref="H19:H20"/>
    <mergeCell ref="I19:I20"/>
    <mergeCell ref="A17:A18"/>
    <mergeCell ref="B17:B18"/>
    <mergeCell ref="C17:C18"/>
    <mergeCell ref="D17:D18"/>
    <mergeCell ref="E17:E18"/>
    <mergeCell ref="H21:H22"/>
    <mergeCell ref="I21:I22"/>
    <mergeCell ref="E28:E29"/>
    <mergeCell ref="H28:H29"/>
    <mergeCell ref="I28:I29"/>
    <mergeCell ref="A25:A26"/>
    <mergeCell ref="B25:B26"/>
    <mergeCell ref="C25:C26"/>
    <mergeCell ref="D25:D26"/>
    <mergeCell ref="E25:E26"/>
    <mergeCell ref="I23:I24"/>
    <mergeCell ref="A23:A24"/>
    <mergeCell ref="B23:B24"/>
    <mergeCell ref="C23:C24"/>
    <mergeCell ref="D23:D24"/>
    <mergeCell ref="E23:E24"/>
    <mergeCell ref="H23:H24"/>
    <mergeCell ref="H25:H26"/>
    <mergeCell ref="I25:I26"/>
    <mergeCell ref="A28:A29"/>
    <mergeCell ref="B28:B29"/>
    <mergeCell ref="C28:C29"/>
    <mergeCell ref="D28:D29"/>
    <mergeCell ref="H30:H31"/>
    <mergeCell ref="I30:I31"/>
    <mergeCell ref="A32:A33"/>
    <mergeCell ref="B32:B33"/>
    <mergeCell ref="C32:C33"/>
    <mergeCell ref="D32:D33"/>
    <mergeCell ref="E32:E33"/>
    <mergeCell ref="H32:H33"/>
    <mergeCell ref="I32:I33"/>
    <mergeCell ref="A30:A31"/>
    <mergeCell ref="B30:B31"/>
    <mergeCell ref="C30:C31"/>
    <mergeCell ref="D30:D31"/>
    <mergeCell ref="E30:E31"/>
    <mergeCell ref="H34:H35"/>
    <mergeCell ref="I34:I35"/>
    <mergeCell ref="A36:A37"/>
    <mergeCell ref="B36:B37"/>
    <mergeCell ref="C36:C37"/>
    <mergeCell ref="D36:D37"/>
    <mergeCell ref="E36:E37"/>
    <mergeCell ref="H36:H37"/>
    <mergeCell ref="I36:I37"/>
    <mergeCell ref="A34:A35"/>
    <mergeCell ref="B34:B35"/>
    <mergeCell ref="C34:C35"/>
    <mergeCell ref="D34:D35"/>
    <mergeCell ref="E34:E35"/>
    <mergeCell ref="H38:H39"/>
    <mergeCell ref="I38:I39"/>
    <mergeCell ref="A40:A41"/>
    <mergeCell ref="B40:B41"/>
    <mergeCell ref="C40:C41"/>
    <mergeCell ref="D40:D41"/>
    <mergeCell ref="E40:E41"/>
    <mergeCell ref="H40:H41"/>
    <mergeCell ref="I40:I41"/>
    <mergeCell ref="A38:A39"/>
    <mergeCell ref="B38:B39"/>
    <mergeCell ref="C38:C39"/>
    <mergeCell ref="D38:D39"/>
    <mergeCell ref="E38:E39"/>
    <mergeCell ref="H42:H43"/>
    <mergeCell ref="I42:I43"/>
    <mergeCell ref="A44:A45"/>
    <mergeCell ref="B44:B45"/>
    <mergeCell ref="C44:C45"/>
    <mergeCell ref="D44:D45"/>
    <mergeCell ref="E44:E45"/>
    <mergeCell ref="H44:H45"/>
    <mergeCell ref="I44:I45"/>
    <mergeCell ref="A42:A43"/>
    <mergeCell ref="B42:B43"/>
    <mergeCell ref="C42:C43"/>
    <mergeCell ref="D42:D43"/>
    <mergeCell ref="E42:E43"/>
    <mergeCell ref="P47:P48"/>
    <mergeCell ref="Q47:Q48"/>
    <mergeCell ref="H49:H50"/>
    <mergeCell ref="I49:I50"/>
    <mergeCell ref="A51:A52"/>
    <mergeCell ref="B51:B52"/>
    <mergeCell ref="C51:C52"/>
    <mergeCell ref="D51:D52"/>
    <mergeCell ref="E51:E52"/>
    <mergeCell ref="H51:H52"/>
    <mergeCell ref="I51:I52"/>
    <mergeCell ref="A49:A50"/>
    <mergeCell ref="B49:B50"/>
    <mergeCell ref="C49:C50"/>
    <mergeCell ref="D49:D50"/>
    <mergeCell ref="E49:E50"/>
    <mergeCell ref="A47:A48"/>
    <mergeCell ref="B47:B48"/>
    <mergeCell ref="C47:C48"/>
    <mergeCell ref="D47:D48"/>
    <mergeCell ref="E47:E48"/>
    <mergeCell ref="H47:H48"/>
    <mergeCell ref="I47:I48"/>
    <mergeCell ref="J47:J48"/>
    <mergeCell ref="H53:H54"/>
    <mergeCell ref="I53:I54"/>
    <mergeCell ref="A55:A56"/>
    <mergeCell ref="B55:B56"/>
    <mergeCell ref="C55:C56"/>
    <mergeCell ref="D55:D56"/>
    <mergeCell ref="E55:E56"/>
    <mergeCell ref="H55:H56"/>
    <mergeCell ref="I55:I56"/>
    <mergeCell ref="A53:A54"/>
    <mergeCell ref="B53:B54"/>
    <mergeCell ref="C53:C54"/>
    <mergeCell ref="D53:D54"/>
    <mergeCell ref="E53:E54"/>
    <mergeCell ref="H57:H58"/>
    <mergeCell ref="I57:I58"/>
    <mergeCell ref="A60:A61"/>
    <mergeCell ref="B60:B61"/>
    <mergeCell ref="C60:C61"/>
    <mergeCell ref="D60:D61"/>
    <mergeCell ref="E60:E61"/>
    <mergeCell ref="H60:H61"/>
    <mergeCell ref="I60:I61"/>
    <mergeCell ref="F60:F61"/>
    <mergeCell ref="G60:G61"/>
    <mergeCell ref="A57:A58"/>
    <mergeCell ref="B57:B58"/>
    <mergeCell ref="C57:C58"/>
    <mergeCell ref="D57:D58"/>
    <mergeCell ref="E57:E58"/>
    <mergeCell ref="H62:H63"/>
    <mergeCell ref="I62:I63"/>
    <mergeCell ref="A65:A66"/>
    <mergeCell ref="B65:B66"/>
    <mergeCell ref="C65:C66"/>
    <mergeCell ref="D65:D66"/>
    <mergeCell ref="E65:E66"/>
    <mergeCell ref="H65:H66"/>
    <mergeCell ref="I65:I66"/>
    <mergeCell ref="F65:F66"/>
    <mergeCell ref="G65:G66"/>
    <mergeCell ref="F62:F63"/>
    <mergeCell ref="G62:G63"/>
    <mergeCell ref="A62:A63"/>
    <mergeCell ref="B62:B63"/>
    <mergeCell ref="C62:C63"/>
    <mergeCell ref="D62:D63"/>
    <mergeCell ref="E62:E63"/>
    <mergeCell ref="A64:I64"/>
    <mergeCell ref="H67:H68"/>
    <mergeCell ref="I67:I68"/>
    <mergeCell ref="A70:A71"/>
    <mergeCell ref="B70:B71"/>
    <mergeCell ref="C70:C71"/>
    <mergeCell ref="D70:D71"/>
    <mergeCell ref="E70:E71"/>
    <mergeCell ref="H70:H71"/>
    <mergeCell ref="I70:I71"/>
    <mergeCell ref="F67:F68"/>
    <mergeCell ref="G67:G68"/>
    <mergeCell ref="A67:A68"/>
    <mergeCell ref="B67:B68"/>
    <mergeCell ref="C67:C68"/>
    <mergeCell ref="D67:D68"/>
    <mergeCell ref="E67:E68"/>
    <mergeCell ref="A69:I69"/>
    <mergeCell ref="Z19:AA19"/>
    <mergeCell ref="Z20:AA20"/>
    <mergeCell ref="Z11:AA11"/>
    <mergeCell ref="Z12:AA12"/>
    <mergeCell ref="Z23:AA23"/>
    <mergeCell ref="Z24:AA24"/>
    <mergeCell ref="Z40:AA40"/>
    <mergeCell ref="Z41:AA41"/>
    <mergeCell ref="Z42:AA42"/>
    <mergeCell ref="Z43:AA43"/>
    <mergeCell ref="Z44:AA44"/>
    <mergeCell ref="Z45:AA45"/>
    <mergeCell ref="Z38:AA38"/>
    <mergeCell ref="Z39:AA39"/>
    <mergeCell ref="Z31:AA31"/>
    <mergeCell ref="Z28:AA28"/>
    <mergeCell ref="Z29:AA29"/>
    <mergeCell ref="Z32:AA32"/>
    <mergeCell ref="Z33:AA33"/>
    <mergeCell ref="Z34:AA34"/>
    <mergeCell ref="Z35:AA35"/>
  </mergeCells>
  <phoneticPr fontId="21" type="noConversion"/>
  <conditionalFormatting sqref="V9:V47 V49:V55 V57 V59:V62 V64:V65 V67:V71">
    <cfRule type="cellIs" dxfId="228" priority="1" operator="greaterThanOrEqual">
      <formula>10</formula>
    </cfRule>
    <cfRule type="cellIs" dxfId="227" priority="2" operator="between">
      <formula>5</formula>
      <formula>9.99999999</formula>
    </cfRule>
    <cfRule type="cellIs" dxfId="226" priority="3" operator="between">
      <formula>1.00000001</formula>
      <formula>4.9999999</formula>
    </cfRule>
    <cfRule type="cellIs" dxfId="225" priority="4" operator="lessThan">
      <formula>0</formula>
    </cfRule>
    <cfRule type="cellIs" dxfId="224" priority="5" operator="between">
      <formula>0.000001</formula>
      <formula>1</formula>
    </cfRule>
  </conditionalFormatting>
  <pageMargins left="0.25" right="0.25" top="0.75" bottom="0.75" header="0.3" footer="0.3"/>
  <pageSetup paperSize="8" scale="8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064A-5402-4CAA-8AE0-DA43EF7F8F63}">
  <dimension ref="A1:AC79"/>
  <sheetViews>
    <sheetView showGridLines="0" tabSelected="1" zoomScale="58" zoomScaleNormal="40" zoomScalePageLayoutView="80" workbookViewId="0">
      <pane ySplit="3" topLeftCell="A56" activePane="bottomLeft" state="frozen"/>
      <selection pane="bottomLeft" activeCell="A56" sqref="A56:A57"/>
    </sheetView>
  </sheetViews>
  <sheetFormatPr defaultRowHeight="13.2" x14ac:dyDescent="0.25"/>
  <cols>
    <col min="1" max="1" width="70.33203125" style="335" bestFit="1" customWidth="1"/>
    <col min="2" max="2" width="16.109375" style="335" customWidth="1"/>
    <col min="3" max="3" width="30" style="335" customWidth="1"/>
    <col min="4" max="4" width="15.6640625" style="335" customWidth="1"/>
    <col min="5" max="8" width="10" style="335" customWidth="1"/>
    <col min="9" max="9" width="13.88671875" style="335" customWidth="1"/>
    <col min="10" max="10" width="10" style="335" customWidth="1"/>
    <col min="11" max="11" width="14.44140625" style="332" customWidth="1"/>
    <col min="12" max="12" width="9.88671875" style="335" bestFit="1" customWidth="1"/>
    <col min="13" max="17" width="11" style="335" customWidth="1"/>
    <col min="18" max="18" width="16" style="332" customWidth="1"/>
    <col min="19" max="19" width="16" style="333" customWidth="1"/>
    <col min="20" max="21" width="16" style="352" customWidth="1"/>
    <col min="22" max="25" width="16" style="335" customWidth="1"/>
    <col min="26" max="26" width="22" style="335" customWidth="1"/>
    <col min="27" max="27" width="40" style="335" customWidth="1"/>
    <col min="28" max="28" width="33.88671875" style="335" customWidth="1"/>
    <col min="29" max="29" width="70.109375" style="335" customWidth="1"/>
    <col min="30" max="16384" width="8.88671875" style="335"/>
  </cols>
  <sheetData>
    <row r="1" spans="1:29" ht="57.75" customHeight="1" thickBot="1" x14ac:dyDescent="0.3">
      <c r="A1" s="334"/>
      <c r="B1" s="334"/>
      <c r="C1" s="826" t="s">
        <v>686</v>
      </c>
      <c r="D1" s="826"/>
      <c r="E1" s="826"/>
      <c r="F1" s="826"/>
      <c r="G1" s="826"/>
      <c r="H1" s="826"/>
      <c r="I1" s="826"/>
      <c r="J1" s="826"/>
      <c r="K1" s="826"/>
      <c r="L1" s="826"/>
      <c r="M1" s="826"/>
      <c r="N1" s="826"/>
      <c r="O1" s="826"/>
      <c r="P1" s="826"/>
      <c r="Q1" s="826"/>
      <c r="R1" s="826"/>
      <c r="S1" s="826"/>
      <c r="T1" s="826"/>
      <c r="U1" s="826"/>
      <c r="V1" s="826"/>
      <c r="W1" s="826"/>
      <c r="X1" s="826"/>
      <c r="Y1" s="826"/>
      <c r="Z1" s="826"/>
      <c r="AA1" s="353"/>
      <c r="AB1" s="353"/>
      <c r="AC1" s="263" t="s">
        <v>687</v>
      </c>
    </row>
    <row r="2" spans="1:29" ht="17.25" customHeight="1" thickBot="1" x14ac:dyDescent="0.3">
      <c r="A2" s="827" t="s">
        <v>135</v>
      </c>
      <c r="B2" s="828"/>
      <c r="C2" s="828"/>
      <c r="D2" s="828"/>
      <c r="E2" s="829" t="s">
        <v>136</v>
      </c>
      <c r="F2" s="830"/>
      <c r="G2" s="830"/>
      <c r="H2" s="830"/>
      <c r="I2" s="830"/>
      <c r="J2" s="830"/>
      <c r="K2" s="830"/>
      <c r="L2" s="830"/>
      <c r="M2" s="830"/>
      <c r="N2" s="830"/>
      <c r="O2" s="830"/>
      <c r="P2" s="830"/>
      <c r="Q2" s="830"/>
      <c r="R2" s="830"/>
      <c r="S2" s="830"/>
      <c r="T2" s="830"/>
      <c r="U2" s="830"/>
      <c r="V2" s="830"/>
      <c r="W2" s="830"/>
      <c r="X2" s="830"/>
      <c r="Y2" s="830"/>
      <c r="Z2" s="831"/>
      <c r="AA2" s="838" t="s">
        <v>987</v>
      </c>
      <c r="AB2" s="838" t="s">
        <v>986</v>
      </c>
      <c r="AC2" s="832" t="s">
        <v>931</v>
      </c>
    </row>
    <row r="3" spans="1:29" ht="81" customHeight="1" thickBot="1" x14ac:dyDescent="0.3">
      <c r="A3" s="264" t="s">
        <v>688</v>
      </c>
      <c r="B3" s="265" t="s">
        <v>137</v>
      </c>
      <c r="C3" s="266" t="s">
        <v>689</v>
      </c>
      <c r="D3" s="265" t="s">
        <v>138</v>
      </c>
      <c r="E3" s="265" t="s">
        <v>139</v>
      </c>
      <c r="F3" s="267" t="s">
        <v>140</v>
      </c>
      <c r="G3" s="267" t="s">
        <v>690</v>
      </c>
      <c r="H3" s="267" t="s">
        <v>691</v>
      </c>
      <c r="I3" s="268" t="s">
        <v>141</v>
      </c>
      <c r="J3" s="268" t="s">
        <v>142</v>
      </c>
      <c r="K3" s="315" t="s">
        <v>143</v>
      </c>
      <c r="L3" s="268" t="s">
        <v>144</v>
      </c>
      <c r="M3" s="268" t="s">
        <v>692</v>
      </c>
      <c r="N3" s="268" t="s">
        <v>693</v>
      </c>
      <c r="O3" s="268" t="s">
        <v>694</v>
      </c>
      <c r="P3" s="268" t="s">
        <v>695</v>
      </c>
      <c r="Q3" s="268" t="s">
        <v>696</v>
      </c>
      <c r="R3" s="315" t="s">
        <v>697</v>
      </c>
      <c r="S3" s="320" t="s">
        <v>302</v>
      </c>
      <c r="T3" s="347" t="s">
        <v>303</v>
      </c>
      <c r="U3" s="347" t="s">
        <v>698</v>
      </c>
      <c r="V3" s="268" t="s">
        <v>305</v>
      </c>
      <c r="W3" s="268" t="s">
        <v>932</v>
      </c>
      <c r="X3" s="268" t="s">
        <v>699</v>
      </c>
      <c r="Y3" s="268" t="s">
        <v>700</v>
      </c>
      <c r="Z3" s="269" t="s">
        <v>450</v>
      </c>
      <c r="AA3" s="839"/>
      <c r="AB3" s="839"/>
      <c r="AC3" s="833"/>
    </row>
    <row r="4" spans="1:29" ht="30" customHeight="1" thickBot="1" x14ac:dyDescent="0.3">
      <c r="A4" s="336" t="s">
        <v>701</v>
      </c>
      <c r="B4" s="313"/>
      <c r="C4" s="313"/>
      <c r="D4" s="313"/>
      <c r="E4" s="313"/>
      <c r="F4" s="313"/>
      <c r="G4" s="313"/>
      <c r="H4" s="313"/>
      <c r="I4" s="313"/>
      <c r="J4" s="313"/>
      <c r="K4" s="319"/>
      <c r="L4" s="313"/>
      <c r="M4" s="313"/>
      <c r="N4" s="313"/>
      <c r="O4" s="313"/>
      <c r="P4" s="337"/>
      <c r="Q4" s="337"/>
      <c r="R4" s="319"/>
      <c r="S4" s="322"/>
      <c r="T4" s="348"/>
      <c r="U4" s="348"/>
      <c r="V4" s="337"/>
      <c r="W4" s="337"/>
      <c r="X4" s="337"/>
      <c r="Y4" s="337"/>
      <c r="Z4" s="313"/>
      <c r="AA4" s="313"/>
      <c r="AB4" s="313"/>
      <c r="AC4" s="338"/>
    </row>
    <row r="5" spans="1:29" ht="47.4" customHeight="1" thickBot="1" x14ac:dyDescent="0.3">
      <c r="A5" s="809">
        <v>1</v>
      </c>
      <c r="B5" s="834" t="s">
        <v>702</v>
      </c>
      <c r="C5" s="836" t="s">
        <v>703</v>
      </c>
      <c r="D5" s="812" t="s">
        <v>704</v>
      </c>
      <c r="E5" s="813" t="s">
        <v>705</v>
      </c>
      <c r="F5" s="271" t="s">
        <v>19</v>
      </c>
      <c r="G5" s="272">
        <v>5.2</v>
      </c>
      <c r="H5" s="273">
        <v>7.86</v>
      </c>
      <c r="I5" s="805" t="s">
        <v>706</v>
      </c>
      <c r="J5" s="805" t="s">
        <v>271</v>
      </c>
      <c r="K5" s="316">
        <v>45208</v>
      </c>
      <c r="L5" s="275" t="s">
        <v>707</v>
      </c>
      <c r="M5" s="276">
        <v>37.082500000000003</v>
      </c>
      <c r="N5" s="276" t="s">
        <v>708</v>
      </c>
      <c r="O5" s="276">
        <v>36.848399999999998</v>
      </c>
      <c r="P5" s="286">
        <v>36.936999999999998</v>
      </c>
      <c r="Q5" s="286">
        <v>36.786999999999999</v>
      </c>
      <c r="R5" s="318">
        <v>45956</v>
      </c>
      <c r="S5" s="303">
        <f t="shared" ref="S5" si="0">R5-K5</f>
        <v>748</v>
      </c>
      <c r="T5" s="286">
        <f>M5-Q5</f>
        <v>0.29550000000000409</v>
      </c>
      <c r="U5" s="286">
        <f>T5-0.01</f>
        <v>0.28550000000000408</v>
      </c>
      <c r="V5" s="286">
        <f>(U5*22270)/(S5*H5*G5)</f>
        <v>0.20796911421911715</v>
      </c>
      <c r="W5" s="286">
        <v>0.02</v>
      </c>
      <c r="X5" s="286">
        <f>W5*39.4</f>
        <v>0.78800000000000003</v>
      </c>
      <c r="Y5" s="286">
        <f>(X5*365)/S5</f>
        <v>0.38451871657754011</v>
      </c>
      <c r="Z5" s="806" t="s">
        <v>709</v>
      </c>
      <c r="AA5" s="357" t="s">
        <v>939</v>
      </c>
      <c r="AB5" s="359" t="s">
        <v>955</v>
      </c>
      <c r="AC5" s="799" t="s">
        <v>0</v>
      </c>
    </row>
    <row r="6" spans="1:29" ht="47.4" customHeight="1" thickBot="1" x14ac:dyDescent="0.3">
      <c r="A6" s="795"/>
      <c r="B6" s="835"/>
      <c r="C6" s="837"/>
      <c r="D6" s="792"/>
      <c r="E6" s="793"/>
      <c r="F6" s="277" t="s">
        <v>19</v>
      </c>
      <c r="G6" s="278">
        <v>5.2</v>
      </c>
      <c r="H6" s="279">
        <v>7.86</v>
      </c>
      <c r="I6" s="794"/>
      <c r="J6" s="794"/>
      <c r="K6" s="316">
        <v>45208</v>
      </c>
      <c r="L6" s="281" t="s">
        <v>710</v>
      </c>
      <c r="M6" s="282">
        <v>37.078099999999999</v>
      </c>
      <c r="N6" s="283" t="s">
        <v>711</v>
      </c>
      <c r="O6" s="283">
        <v>36.834899999999998</v>
      </c>
      <c r="P6" s="286">
        <v>37.069000000000003</v>
      </c>
      <c r="Q6" s="286">
        <v>36.975000000000001</v>
      </c>
      <c r="R6" s="318">
        <v>45956</v>
      </c>
      <c r="S6" s="303">
        <f t="shared" ref="S6:S15" si="1">R6-K6</f>
        <v>748</v>
      </c>
      <c r="T6" s="286">
        <f>M6-Q6</f>
        <v>0.10309999999999775</v>
      </c>
      <c r="U6" s="286">
        <f>T6-0.01</f>
        <v>9.3099999999997754E-2</v>
      </c>
      <c r="V6" s="286">
        <f>(U6*22270)/(S6*H6*G6)</f>
        <v>6.781759906759742E-2</v>
      </c>
      <c r="W6" s="286"/>
      <c r="X6" s="286"/>
      <c r="Y6" s="286"/>
      <c r="Z6" s="807"/>
      <c r="AA6" s="355" t="s">
        <v>940</v>
      </c>
      <c r="AB6" s="355" t="s">
        <v>956</v>
      </c>
      <c r="AC6" s="782"/>
    </row>
    <row r="7" spans="1:29" ht="48" customHeight="1" thickBot="1" x14ac:dyDescent="0.3">
      <c r="A7" s="336" t="s">
        <v>712</v>
      </c>
      <c r="B7" s="313"/>
      <c r="C7" s="313"/>
      <c r="D7" s="313"/>
      <c r="E7" s="313"/>
      <c r="F7" s="313"/>
      <c r="G7" s="313"/>
      <c r="H7" s="313"/>
      <c r="I7" s="313"/>
      <c r="J7" s="313"/>
      <c r="K7" s="319"/>
      <c r="L7" s="313"/>
      <c r="M7" s="313"/>
      <c r="N7" s="313"/>
      <c r="O7" s="313"/>
      <c r="P7" s="299"/>
      <c r="Q7" s="299"/>
      <c r="R7" s="319"/>
      <c r="S7" s="323"/>
      <c r="T7" s="349"/>
      <c r="U7" s="349"/>
      <c r="V7" s="341"/>
      <c r="W7" s="341"/>
      <c r="X7" s="341"/>
      <c r="Y7" s="341"/>
      <c r="Z7" s="313"/>
      <c r="AA7" s="313"/>
      <c r="AB7" s="313"/>
      <c r="AC7" s="338"/>
    </row>
    <row r="8" spans="1:29" ht="48" customHeight="1" thickBot="1" x14ac:dyDescent="0.3">
      <c r="A8" s="809">
        <v>2</v>
      </c>
      <c r="B8" s="810" t="s">
        <v>713</v>
      </c>
      <c r="C8" s="811" t="s">
        <v>714</v>
      </c>
      <c r="D8" s="812" t="s">
        <v>715</v>
      </c>
      <c r="E8" s="813" t="s">
        <v>705</v>
      </c>
      <c r="F8" s="271" t="s">
        <v>19</v>
      </c>
      <c r="G8" s="272">
        <v>5.2</v>
      </c>
      <c r="H8" s="273">
        <v>7.86</v>
      </c>
      <c r="I8" s="805" t="s">
        <v>716</v>
      </c>
      <c r="J8" s="805" t="s">
        <v>717</v>
      </c>
      <c r="K8" s="316">
        <v>45209</v>
      </c>
      <c r="L8" s="284" t="s">
        <v>718</v>
      </c>
      <c r="M8" s="276">
        <v>36.965899999999998</v>
      </c>
      <c r="N8" s="276" t="s">
        <v>719</v>
      </c>
      <c r="O8" s="276">
        <v>36.997</v>
      </c>
      <c r="P8" s="286">
        <v>36.908000000000001</v>
      </c>
      <c r="Q8" s="286">
        <v>36.741999999999997</v>
      </c>
      <c r="R8" s="318">
        <v>45954</v>
      </c>
      <c r="S8" s="303">
        <f t="shared" si="1"/>
        <v>745</v>
      </c>
      <c r="T8" s="286">
        <f>M8-Q8</f>
        <v>0.22390000000000043</v>
      </c>
      <c r="U8" s="286">
        <f>T8-0.01</f>
        <v>0.21390000000000042</v>
      </c>
      <c r="V8" s="286">
        <f>(U8*22270)/(S8*H8*G8)</f>
        <v>0.15644037170882838</v>
      </c>
      <c r="W8" s="286">
        <v>0.02</v>
      </c>
      <c r="X8" s="286">
        <f>W8*39.4</f>
        <v>0.78800000000000003</v>
      </c>
      <c r="Y8" s="286">
        <f>(X8*365)/S8</f>
        <v>0.38606711409395972</v>
      </c>
      <c r="Z8" s="806" t="s">
        <v>709</v>
      </c>
      <c r="AA8" s="356" t="s">
        <v>941</v>
      </c>
      <c r="AB8" s="359" t="s">
        <v>957</v>
      </c>
      <c r="AC8" s="799" t="s">
        <v>0</v>
      </c>
    </row>
    <row r="9" spans="1:29" ht="48" customHeight="1" thickBot="1" x14ac:dyDescent="0.3">
      <c r="A9" s="795"/>
      <c r="B9" s="789"/>
      <c r="C9" s="791"/>
      <c r="D9" s="792"/>
      <c r="E9" s="793"/>
      <c r="F9" s="277" t="s">
        <v>19</v>
      </c>
      <c r="G9" s="278">
        <v>5.2</v>
      </c>
      <c r="H9" s="279">
        <v>7.86</v>
      </c>
      <c r="I9" s="794"/>
      <c r="J9" s="794"/>
      <c r="K9" s="316">
        <v>45209</v>
      </c>
      <c r="L9" s="285" t="s">
        <v>720</v>
      </c>
      <c r="M9" s="286">
        <v>37.003900000000002</v>
      </c>
      <c r="N9" s="286" t="s">
        <v>721</v>
      </c>
      <c r="O9" s="286">
        <v>36.005400000000002</v>
      </c>
      <c r="P9" s="286">
        <v>36.933</v>
      </c>
      <c r="Q9" s="286">
        <v>36.765000000000001</v>
      </c>
      <c r="R9" s="318">
        <v>45954</v>
      </c>
      <c r="S9" s="303">
        <f t="shared" si="1"/>
        <v>745</v>
      </c>
      <c r="T9" s="286">
        <f t="shared" ref="T9:T13" si="2">M9-Q9</f>
        <v>0.238900000000001</v>
      </c>
      <c r="U9" s="286">
        <f t="shared" ref="U9:U15" si="3">T9-0.01</f>
        <v>0.22890000000000099</v>
      </c>
      <c r="V9" s="286">
        <f t="shared" ref="V9:V59" si="4">(U9*22270)/(S9*H9*G9)</f>
        <v>0.16741094475993878</v>
      </c>
      <c r="W9" s="286">
        <v>0.01</v>
      </c>
      <c r="X9" s="286">
        <f>W9*39.4</f>
        <v>0.39400000000000002</v>
      </c>
      <c r="Y9" s="286">
        <f>(X9*365)/S9</f>
        <v>0.19303355704697986</v>
      </c>
      <c r="Z9" s="780"/>
      <c r="AA9" s="356" t="s">
        <v>941</v>
      </c>
      <c r="AB9" s="359" t="s">
        <v>957</v>
      </c>
      <c r="AC9" s="782"/>
    </row>
    <row r="10" spans="1:29" ht="48" customHeight="1" thickBot="1" x14ac:dyDescent="0.3">
      <c r="A10" s="795">
        <v>3</v>
      </c>
      <c r="B10" s="789" t="s">
        <v>722</v>
      </c>
      <c r="C10" s="790" t="s">
        <v>723</v>
      </c>
      <c r="D10" s="792" t="s">
        <v>715</v>
      </c>
      <c r="E10" s="817" t="s">
        <v>705</v>
      </c>
      <c r="F10" s="287" t="s">
        <v>19</v>
      </c>
      <c r="G10" s="288">
        <v>5.2</v>
      </c>
      <c r="H10" s="289">
        <v>7.86</v>
      </c>
      <c r="I10" s="794" t="s">
        <v>724</v>
      </c>
      <c r="J10" s="794" t="s">
        <v>717</v>
      </c>
      <c r="K10" s="316">
        <v>45209</v>
      </c>
      <c r="L10" s="285" t="s">
        <v>725</v>
      </c>
      <c r="M10" s="286">
        <v>37.161299999999997</v>
      </c>
      <c r="N10" s="286" t="s">
        <v>726</v>
      </c>
      <c r="O10" s="286">
        <v>37.067</v>
      </c>
      <c r="P10" s="286">
        <v>37.250999999999998</v>
      </c>
      <c r="Q10" s="286">
        <v>37.091999999999999</v>
      </c>
      <c r="R10" s="318">
        <v>45954</v>
      </c>
      <c r="S10" s="303">
        <f t="shared" si="1"/>
        <v>745</v>
      </c>
      <c r="T10" s="286">
        <f t="shared" si="2"/>
        <v>6.9299999999998363E-2</v>
      </c>
      <c r="U10" s="286">
        <f t="shared" si="3"/>
        <v>5.9299999999998361E-2</v>
      </c>
      <c r="V10" s="286">
        <f t="shared" si="4"/>
        <v>4.3370332128720192E-2</v>
      </c>
      <c r="W10" s="286"/>
      <c r="X10" s="286"/>
      <c r="Y10" s="286"/>
      <c r="Z10" s="780" t="s">
        <v>709</v>
      </c>
      <c r="AA10" s="356" t="s">
        <v>942</v>
      </c>
      <c r="AB10" s="356" t="s">
        <v>958</v>
      </c>
      <c r="AC10" s="782" t="s">
        <v>0</v>
      </c>
    </row>
    <row r="11" spans="1:29" ht="48" customHeight="1" thickBot="1" x14ac:dyDescent="0.3">
      <c r="A11" s="795"/>
      <c r="B11" s="789"/>
      <c r="C11" s="791"/>
      <c r="D11" s="792"/>
      <c r="E11" s="793"/>
      <c r="F11" s="277" t="s">
        <v>19</v>
      </c>
      <c r="G11" s="278">
        <v>5.2</v>
      </c>
      <c r="H11" s="279">
        <v>7.86</v>
      </c>
      <c r="I11" s="794"/>
      <c r="J11" s="794"/>
      <c r="K11" s="316">
        <v>45209</v>
      </c>
      <c r="L11" s="285" t="s">
        <v>727</v>
      </c>
      <c r="M11" s="286">
        <v>36.980699999999999</v>
      </c>
      <c r="N11" s="286" t="s">
        <v>728</v>
      </c>
      <c r="O11" s="286">
        <v>37.102600000000002</v>
      </c>
      <c r="P11" s="286">
        <v>37.076999999999998</v>
      </c>
      <c r="Q11" s="286">
        <v>36.893000000000001</v>
      </c>
      <c r="R11" s="318">
        <v>45954</v>
      </c>
      <c r="S11" s="303">
        <f t="shared" si="1"/>
        <v>745</v>
      </c>
      <c r="T11" s="286">
        <f t="shared" si="2"/>
        <v>8.7699999999998113E-2</v>
      </c>
      <c r="U11" s="286">
        <f t="shared" si="3"/>
        <v>7.7699999999998118E-2</v>
      </c>
      <c r="V11" s="286">
        <f t="shared" si="4"/>
        <v>5.6827568404748237E-2</v>
      </c>
      <c r="W11" s="286"/>
      <c r="X11" s="286"/>
      <c r="Y11" s="286"/>
      <c r="Z11" s="780"/>
      <c r="AA11" s="356" t="s">
        <v>942</v>
      </c>
      <c r="AB11" s="356" t="s">
        <v>958</v>
      </c>
      <c r="AC11" s="782"/>
    </row>
    <row r="12" spans="1:29" ht="48" customHeight="1" thickBot="1" x14ac:dyDescent="0.3">
      <c r="A12" s="795">
        <v>4</v>
      </c>
      <c r="B12" s="789" t="s">
        <v>729</v>
      </c>
      <c r="C12" s="790" t="s">
        <v>730</v>
      </c>
      <c r="D12" s="792" t="s">
        <v>715</v>
      </c>
      <c r="E12" s="817" t="s">
        <v>705</v>
      </c>
      <c r="F12" s="287" t="s">
        <v>19</v>
      </c>
      <c r="G12" s="288">
        <v>5.2</v>
      </c>
      <c r="H12" s="289">
        <v>7.86</v>
      </c>
      <c r="I12" s="794" t="s">
        <v>724</v>
      </c>
      <c r="J12" s="794" t="s">
        <v>717</v>
      </c>
      <c r="K12" s="316">
        <v>45209</v>
      </c>
      <c r="L12" s="285" t="s">
        <v>731</v>
      </c>
      <c r="M12" s="286">
        <v>36.937800000000003</v>
      </c>
      <c r="N12" s="286" t="s">
        <v>732</v>
      </c>
      <c r="O12" s="286">
        <v>36.904600000000002</v>
      </c>
      <c r="P12" s="286">
        <v>36.991999999999997</v>
      </c>
      <c r="Q12" s="286">
        <v>36.881999999999998</v>
      </c>
      <c r="R12" s="318">
        <v>45954</v>
      </c>
      <c r="S12" s="303">
        <f t="shared" si="1"/>
        <v>745</v>
      </c>
      <c r="T12" s="286">
        <f t="shared" si="2"/>
        <v>5.5800000000004957E-2</v>
      </c>
      <c r="U12" s="286">
        <f t="shared" si="3"/>
        <v>4.5800000000004955E-2</v>
      </c>
      <c r="V12" s="286">
        <f t="shared" si="4"/>
        <v>3.3496816382726051E-2</v>
      </c>
      <c r="W12" s="286"/>
      <c r="X12" s="286"/>
      <c r="Y12" s="286"/>
      <c r="Z12" s="780" t="s">
        <v>709</v>
      </c>
      <c r="AA12" s="356" t="s">
        <v>942</v>
      </c>
      <c r="AB12" s="356" t="s">
        <v>959</v>
      </c>
      <c r="AC12" s="782" t="s">
        <v>0</v>
      </c>
    </row>
    <row r="13" spans="1:29" ht="48" customHeight="1" thickBot="1" x14ac:dyDescent="0.3">
      <c r="A13" s="795"/>
      <c r="B13" s="789"/>
      <c r="C13" s="791"/>
      <c r="D13" s="792"/>
      <c r="E13" s="793"/>
      <c r="F13" s="277" t="s">
        <v>19</v>
      </c>
      <c r="G13" s="278">
        <v>5.2</v>
      </c>
      <c r="H13" s="279">
        <v>7.86</v>
      </c>
      <c r="I13" s="794"/>
      <c r="J13" s="794"/>
      <c r="K13" s="316">
        <v>45209</v>
      </c>
      <c r="L13" s="285" t="s">
        <v>733</v>
      </c>
      <c r="M13" s="286">
        <v>37.072099999999999</v>
      </c>
      <c r="N13" s="286" t="s">
        <v>734</v>
      </c>
      <c r="O13" s="286">
        <v>37.043999999999997</v>
      </c>
      <c r="P13" s="286">
        <v>37.128</v>
      </c>
      <c r="Q13" s="286">
        <v>37.01</v>
      </c>
      <c r="R13" s="318">
        <v>45954</v>
      </c>
      <c r="S13" s="303">
        <f t="shared" si="1"/>
        <v>745</v>
      </c>
      <c r="T13" s="286">
        <f t="shared" si="2"/>
        <v>6.2100000000000932E-2</v>
      </c>
      <c r="U13" s="286">
        <f t="shared" si="3"/>
        <v>5.210000000000093E-2</v>
      </c>
      <c r="V13" s="286">
        <f t="shared" si="4"/>
        <v>3.8104457064189287E-2</v>
      </c>
      <c r="W13" s="286"/>
      <c r="X13" s="286"/>
      <c r="Y13" s="286"/>
      <c r="Z13" s="780"/>
      <c r="AA13" s="356" t="s">
        <v>940</v>
      </c>
      <c r="AB13" s="356" t="s">
        <v>959</v>
      </c>
      <c r="AC13" s="782"/>
    </row>
    <row r="14" spans="1:29" ht="48" customHeight="1" thickBot="1" x14ac:dyDescent="0.3">
      <c r="A14" s="788">
        <v>5</v>
      </c>
      <c r="B14" s="815" t="s">
        <v>735</v>
      </c>
      <c r="C14" s="816" t="s">
        <v>736</v>
      </c>
      <c r="D14" s="798" t="s">
        <v>715</v>
      </c>
      <c r="E14" s="817" t="s">
        <v>705</v>
      </c>
      <c r="F14" s="287" t="s">
        <v>19</v>
      </c>
      <c r="G14" s="288">
        <v>5.2</v>
      </c>
      <c r="H14" s="289">
        <v>7.86</v>
      </c>
      <c r="I14" s="814" t="s">
        <v>737</v>
      </c>
      <c r="J14" s="814" t="s">
        <v>717</v>
      </c>
      <c r="K14" s="316">
        <v>45209</v>
      </c>
      <c r="L14" s="291" t="s">
        <v>738</v>
      </c>
      <c r="M14" s="292">
        <v>37.011099999999999</v>
      </c>
      <c r="N14" s="292" t="s">
        <v>739</v>
      </c>
      <c r="O14" s="292">
        <v>36.939500000000002</v>
      </c>
      <c r="P14" s="286">
        <v>35.350999999999999</v>
      </c>
      <c r="Q14" s="286">
        <v>35.271000000000001</v>
      </c>
      <c r="R14" s="318">
        <v>45954</v>
      </c>
      <c r="S14" s="303">
        <f t="shared" si="1"/>
        <v>745</v>
      </c>
      <c r="T14" s="286">
        <f>M14-Q14</f>
        <v>1.7400999999999982</v>
      </c>
      <c r="U14" s="286">
        <f t="shared" si="3"/>
        <v>1.7300999999999982</v>
      </c>
      <c r="V14" s="286">
        <f t="shared" si="4"/>
        <v>1.2653458957150219</v>
      </c>
      <c r="W14" s="286">
        <v>0.04</v>
      </c>
      <c r="X14" s="286">
        <f>W14*39.4</f>
        <v>1.5760000000000001</v>
      </c>
      <c r="Y14" s="286">
        <f t="shared" ref="Y14:Y15" si="5">(X14*365)/S14</f>
        <v>0.77213422818791944</v>
      </c>
      <c r="Z14" s="808" t="s">
        <v>709</v>
      </c>
      <c r="AA14" s="357" t="s">
        <v>943</v>
      </c>
      <c r="AB14" s="359" t="s">
        <v>959</v>
      </c>
      <c r="AC14" s="781" t="s">
        <v>0</v>
      </c>
    </row>
    <row r="15" spans="1:29" ht="48" customHeight="1" thickBot="1" x14ac:dyDescent="0.3">
      <c r="A15" s="821"/>
      <c r="B15" s="822"/>
      <c r="C15" s="823"/>
      <c r="D15" s="824"/>
      <c r="E15" s="793"/>
      <c r="F15" s="277" t="s">
        <v>19</v>
      </c>
      <c r="G15" s="278">
        <v>5.2</v>
      </c>
      <c r="H15" s="279">
        <v>7.86</v>
      </c>
      <c r="I15" s="820"/>
      <c r="J15" s="820"/>
      <c r="K15" s="316">
        <v>45209</v>
      </c>
      <c r="L15" s="293" t="s">
        <v>740</v>
      </c>
      <c r="M15" s="282">
        <v>37.077800000000003</v>
      </c>
      <c r="N15" s="282" t="s">
        <v>741</v>
      </c>
      <c r="O15" s="282">
        <v>37.0274</v>
      </c>
      <c r="P15" s="286">
        <v>35.347999999999999</v>
      </c>
      <c r="Q15" s="286">
        <v>35.258000000000003</v>
      </c>
      <c r="R15" s="318">
        <v>45954</v>
      </c>
      <c r="S15" s="303">
        <f t="shared" si="1"/>
        <v>745</v>
      </c>
      <c r="T15" s="286">
        <f>M15-Q15</f>
        <v>1.8198000000000008</v>
      </c>
      <c r="U15" s="286">
        <f t="shared" si="3"/>
        <v>1.8098000000000007</v>
      </c>
      <c r="V15" s="286">
        <f t="shared" si="4"/>
        <v>1.3236362071932546</v>
      </c>
      <c r="W15" s="286">
        <v>0.06</v>
      </c>
      <c r="X15" s="286">
        <f>W15*39.4</f>
        <v>2.3639999999999999</v>
      </c>
      <c r="Y15" s="286">
        <f t="shared" si="5"/>
        <v>1.1582013422818791</v>
      </c>
      <c r="Z15" s="819"/>
      <c r="AA15" s="357" t="s">
        <v>943</v>
      </c>
      <c r="AB15" s="359" t="s">
        <v>959</v>
      </c>
      <c r="AC15" s="818"/>
    </row>
    <row r="16" spans="1:29" ht="48" customHeight="1" thickBot="1" x14ac:dyDescent="0.3">
      <c r="A16" s="336" t="s">
        <v>742</v>
      </c>
      <c r="B16" s="313"/>
      <c r="C16" s="313"/>
      <c r="D16" s="313"/>
      <c r="E16" s="313"/>
      <c r="F16" s="313"/>
      <c r="G16" s="313"/>
      <c r="H16" s="313"/>
      <c r="I16" s="313"/>
      <c r="J16" s="313"/>
      <c r="K16" s="319"/>
      <c r="L16" s="313"/>
      <c r="M16" s="313"/>
      <c r="N16" s="313"/>
      <c r="O16" s="313"/>
      <c r="P16" s="313"/>
      <c r="Q16" s="313"/>
      <c r="R16" s="319"/>
      <c r="S16" s="324"/>
      <c r="T16" s="350"/>
      <c r="U16" s="350"/>
      <c r="V16" s="299"/>
      <c r="W16" s="299"/>
      <c r="X16" s="299"/>
      <c r="Y16" s="299"/>
      <c r="Z16" s="313"/>
      <c r="AA16" s="313"/>
      <c r="AB16" s="313"/>
      <c r="AC16" s="338"/>
    </row>
    <row r="17" spans="1:29" ht="48" customHeight="1" thickBot="1" x14ac:dyDescent="0.3">
      <c r="A17" s="326">
        <v>6</v>
      </c>
      <c r="B17" s="328" t="s">
        <v>743</v>
      </c>
      <c r="C17" s="342" t="s">
        <v>744</v>
      </c>
      <c r="D17" s="327" t="s">
        <v>310</v>
      </c>
      <c r="E17" s="270" t="s">
        <v>745</v>
      </c>
      <c r="F17" s="271" t="s">
        <v>19</v>
      </c>
      <c r="G17" s="278">
        <v>2.5</v>
      </c>
      <c r="H17" s="279">
        <v>7.86</v>
      </c>
      <c r="I17" s="271" t="s">
        <v>746</v>
      </c>
      <c r="J17" s="274" t="s">
        <v>271</v>
      </c>
      <c r="K17" s="316">
        <v>45208</v>
      </c>
      <c r="L17" s="284" t="s">
        <v>747</v>
      </c>
      <c r="M17" s="276">
        <v>17.258199999999999</v>
      </c>
      <c r="N17" s="276" t="s">
        <v>748</v>
      </c>
      <c r="O17" s="276">
        <v>17.604700000000001</v>
      </c>
      <c r="P17" s="276">
        <v>17.260000000000002</v>
      </c>
      <c r="Q17" s="276">
        <v>17.241</v>
      </c>
      <c r="R17" s="318">
        <v>45953</v>
      </c>
      <c r="S17" s="303">
        <f>R17-K17</f>
        <v>745</v>
      </c>
      <c r="T17" s="276">
        <f>M17-Q17</f>
        <v>1.7199999999998994E-2</v>
      </c>
      <c r="U17" s="276">
        <f>T17-0.01</f>
        <v>7.1999999999989937E-3</v>
      </c>
      <c r="V17" s="286">
        <f t="shared" si="4"/>
        <v>1.0953020134226658E-2</v>
      </c>
      <c r="W17" s="292"/>
      <c r="X17" s="276"/>
      <c r="Y17" s="276"/>
      <c r="Z17" s="339" t="s">
        <v>749</v>
      </c>
      <c r="AA17" s="357" t="s">
        <v>942</v>
      </c>
      <c r="AB17" s="354" t="s">
        <v>960</v>
      </c>
      <c r="AC17" s="340" t="s">
        <v>0</v>
      </c>
    </row>
    <row r="18" spans="1:29" ht="48" customHeight="1" thickBot="1" x14ac:dyDescent="0.3">
      <c r="A18" s="795">
        <v>7</v>
      </c>
      <c r="B18" s="789" t="s">
        <v>750</v>
      </c>
      <c r="C18" s="790" t="s">
        <v>751</v>
      </c>
      <c r="D18" s="792" t="s">
        <v>715</v>
      </c>
      <c r="E18" s="817" t="s">
        <v>705</v>
      </c>
      <c r="F18" s="287" t="s">
        <v>19</v>
      </c>
      <c r="G18" s="288">
        <v>5.2</v>
      </c>
      <c r="H18" s="289">
        <v>7.86</v>
      </c>
      <c r="I18" s="794" t="s">
        <v>737</v>
      </c>
      <c r="J18" s="794" t="s">
        <v>717</v>
      </c>
      <c r="K18" s="318">
        <v>45208</v>
      </c>
      <c r="L18" s="285" t="s">
        <v>752</v>
      </c>
      <c r="M18" s="286">
        <v>37.1477</v>
      </c>
      <c r="N18" s="286" t="s">
        <v>753</v>
      </c>
      <c r="O18" s="286">
        <v>36.990200000000002</v>
      </c>
      <c r="P18" s="286">
        <v>37.220999999999997</v>
      </c>
      <c r="Q18" s="286">
        <v>37</v>
      </c>
      <c r="R18" s="318">
        <v>45953</v>
      </c>
      <c r="S18" s="303">
        <f>R18-K18</f>
        <v>745</v>
      </c>
      <c r="T18" s="276">
        <f t="shared" ref="T18:T19" si="6">M18-Q18</f>
        <v>0.14770000000000039</v>
      </c>
      <c r="U18" s="276">
        <f t="shared" ref="U18:U19" si="7">T18-0.01</f>
        <v>0.13770000000000038</v>
      </c>
      <c r="V18" s="286">
        <f t="shared" si="4"/>
        <v>0.10070986060918974</v>
      </c>
      <c r="W18" s="286">
        <v>0.01</v>
      </c>
      <c r="X18" s="286">
        <f>W18*39.4</f>
        <v>0.39400000000000002</v>
      </c>
      <c r="Y18" s="286">
        <f t="shared" ref="Y18:Y19" si="8">(X18*365)/S18</f>
        <v>0.19303355704697986</v>
      </c>
      <c r="Z18" s="780" t="s">
        <v>749</v>
      </c>
      <c r="AA18" s="357" t="s">
        <v>944</v>
      </c>
      <c r="AB18" s="359" t="s">
        <v>961</v>
      </c>
      <c r="AC18" s="782" t="s">
        <v>0</v>
      </c>
    </row>
    <row r="19" spans="1:29" ht="48" customHeight="1" thickBot="1" x14ac:dyDescent="0.3">
      <c r="A19" s="795"/>
      <c r="B19" s="789"/>
      <c r="C19" s="791"/>
      <c r="D19" s="792"/>
      <c r="E19" s="793"/>
      <c r="F19" s="277" t="s">
        <v>19</v>
      </c>
      <c r="G19" s="278">
        <v>5.2</v>
      </c>
      <c r="H19" s="279">
        <v>7.86</v>
      </c>
      <c r="I19" s="794"/>
      <c r="J19" s="794"/>
      <c r="K19" s="318">
        <v>45208</v>
      </c>
      <c r="L19" s="285" t="s">
        <v>754</v>
      </c>
      <c r="M19" s="286">
        <v>37.099899999999998</v>
      </c>
      <c r="N19" s="286" t="s">
        <v>755</v>
      </c>
      <c r="O19" s="286">
        <v>36.978299999999997</v>
      </c>
      <c r="P19" s="286">
        <v>37.195</v>
      </c>
      <c r="Q19" s="286">
        <v>36.963999999999999</v>
      </c>
      <c r="R19" s="318">
        <v>45953</v>
      </c>
      <c r="S19" s="303">
        <f>R19-K19</f>
        <v>745</v>
      </c>
      <c r="T19" s="276">
        <f t="shared" si="6"/>
        <v>0.13589999999999947</v>
      </c>
      <c r="U19" s="276">
        <f t="shared" si="7"/>
        <v>0.12589999999999946</v>
      </c>
      <c r="V19" s="286">
        <f t="shared" si="4"/>
        <v>9.2079676475649228E-2</v>
      </c>
      <c r="W19" s="286">
        <v>0.02</v>
      </c>
      <c r="X19" s="286">
        <f>W19*39.4</f>
        <v>0.78800000000000003</v>
      </c>
      <c r="Y19" s="286">
        <f t="shared" si="8"/>
        <v>0.38606711409395972</v>
      </c>
      <c r="Z19" s="780"/>
      <c r="AA19" s="357" t="s">
        <v>944</v>
      </c>
      <c r="AB19" s="359" t="s">
        <v>961</v>
      </c>
      <c r="AC19" s="782"/>
    </row>
    <row r="20" spans="1:29" ht="48" customHeight="1" thickBot="1" x14ac:dyDescent="0.3">
      <c r="A20" s="336" t="s">
        <v>756</v>
      </c>
      <c r="B20" s="313"/>
      <c r="C20" s="313"/>
      <c r="D20" s="313"/>
      <c r="E20" s="313"/>
      <c r="F20" s="313"/>
      <c r="G20" s="313"/>
      <c r="H20" s="313"/>
      <c r="I20" s="313"/>
      <c r="J20" s="313"/>
      <c r="K20" s="319"/>
      <c r="L20" s="313"/>
      <c r="M20" s="313"/>
      <c r="N20" s="313"/>
      <c r="O20" s="313"/>
      <c r="P20" s="313"/>
      <c r="Q20" s="313"/>
      <c r="R20" s="319"/>
      <c r="S20" s="323"/>
      <c r="T20" s="349"/>
      <c r="U20" s="349"/>
      <c r="V20" s="341"/>
      <c r="W20" s="341"/>
      <c r="X20" s="341"/>
      <c r="Y20" s="341"/>
      <c r="Z20" s="313"/>
      <c r="AA20" s="313"/>
      <c r="AB20" s="313"/>
      <c r="AC20" s="338"/>
    </row>
    <row r="21" spans="1:29" ht="48" customHeight="1" x14ac:dyDescent="0.25">
      <c r="A21" s="809">
        <v>8</v>
      </c>
      <c r="B21" s="810" t="s">
        <v>757</v>
      </c>
      <c r="C21" s="811" t="s">
        <v>758</v>
      </c>
      <c r="D21" s="812" t="s">
        <v>310</v>
      </c>
      <c r="E21" s="817" t="s">
        <v>705</v>
      </c>
      <c r="F21" s="287" t="s">
        <v>19</v>
      </c>
      <c r="G21" s="288">
        <v>5.2</v>
      </c>
      <c r="H21" s="289">
        <v>7.86</v>
      </c>
      <c r="I21" s="794" t="s">
        <v>759</v>
      </c>
      <c r="J21" s="794" t="s">
        <v>271</v>
      </c>
      <c r="K21" s="318">
        <v>45204</v>
      </c>
      <c r="L21" s="285" t="s">
        <v>760</v>
      </c>
      <c r="M21" s="286">
        <v>36.993200000000002</v>
      </c>
      <c r="N21" s="286" t="s">
        <v>761</v>
      </c>
      <c r="O21" s="286">
        <v>36.7425</v>
      </c>
      <c r="P21" s="286">
        <v>36.921999999999997</v>
      </c>
      <c r="Q21" s="286">
        <v>36.707000000000001</v>
      </c>
      <c r="R21" s="318">
        <v>45952</v>
      </c>
      <c r="S21" s="303">
        <f>R21-K21</f>
        <v>748</v>
      </c>
      <c r="T21" s="286">
        <f>M21-Q21</f>
        <v>0.2862000000000009</v>
      </c>
      <c r="U21" s="286">
        <f>T21-0.01</f>
        <v>0.27620000000000089</v>
      </c>
      <c r="V21" s="286">
        <f t="shared" si="4"/>
        <v>0.20119463869463933</v>
      </c>
      <c r="W21" s="286">
        <v>0.04</v>
      </c>
      <c r="X21" s="286">
        <f>W21*39.4</f>
        <v>1.5760000000000001</v>
      </c>
      <c r="Y21" s="286">
        <f t="shared" ref="Y21:Y22" si="9">(X21*365)/S21</f>
        <v>0.76903743315508022</v>
      </c>
      <c r="Z21" s="780" t="s">
        <v>749</v>
      </c>
      <c r="AA21" s="357" t="s">
        <v>945</v>
      </c>
      <c r="AB21" s="359" t="s">
        <v>961</v>
      </c>
      <c r="AC21" s="782" t="s">
        <v>0</v>
      </c>
    </row>
    <row r="22" spans="1:29" ht="48" customHeight="1" thickBot="1" x14ac:dyDescent="0.3">
      <c r="A22" s="821"/>
      <c r="B22" s="822"/>
      <c r="C22" s="823"/>
      <c r="D22" s="824"/>
      <c r="E22" s="793"/>
      <c r="F22" s="277" t="s">
        <v>19</v>
      </c>
      <c r="G22" s="278">
        <v>5.2</v>
      </c>
      <c r="H22" s="279">
        <v>7.86</v>
      </c>
      <c r="I22" s="794"/>
      <c r="J22" s="794"/>
      <c r="K22" s="318">
        <v>45204</v>
      </c>
      <c r="L22" s="285" t="s">
        <v>762</v>
      </c>
      <c r="M22" s="286">
        <v>36.930599999999998</v>
      </c>
      <c r="N22" s="286" t="s">
        <v>763</v>
      </c>
      <c r="O22" s="286">
        <v>36.7395</v>
      </c>
      <c r="P22" s="286">
        <v>37.000999999999998</v>
      </c>
      <c r="Q22" s="286">
        <v>36.673000000000002</v>
      </c>
      <c r="R22" s="318">
        <v>45952</v>
      </c>
      <c r="S22" s="303">
        <f>R22-K22</f>
        <v>748</v>
      </c>
      <c r="T22" s="286">
        <f>M22-Q22</f>
        <v>0.2575999999999965</v>
      </c>
      <c r="U22" s="286">
        <f>T22-0.01</f>
        <v>0.24759999999999649</v>
      </c>
      <c r="V22" s="286">
        <f t="shared" si="4"/>
        <v>0.18036130536130277</v>
      </c>
      <c r="W22" s="286">
        <v>0.02</v>
      </c>
      <c r="X22" s="286">
        <f>W22*39.4</f>
        <v>0.78800000000000003</v>
      </c>
      <c r="Y22" s="286">
        <f t="shared" si="9"/>
        <v>0.38451871657754011</v>
      </c>
      <c r="Z22" s="780"/>
      <c r="AA22" s="357" t="s">
        <v>945</v>
      </c>
      <c r="AB22" s="359" t="s">
        <v>961</v>
      </c>
      <c r="AC22" s="782"/>
    </row>
    <row r="23" spans="1:29" ht="48" customHeight="1" thickBot="1" x14ac:dyDescent="0.3">
      <c r="A23" s="336" t="s">
        <v>764</v>
      </c>
      <c r="B23" s="313"/>
      <c r="C23" s="313"/>
      <c r="D23" s="313"/>
      <c r="E23" s="313"/>
      <c r="F23" s="313"/>
      <c r="G23" s="313"/>
      <c r="H23" s="313"/>
      <c r="I23" s="313"/>
      <c r="J23" s="313"/>
      <c r="K23" s="319"/>
      <c r="L23" s="313"/>
      <c r="M23" s="313"/>
      <c r="N23" s="313"/>
      <c r="O23" s="313"/>
      <c r="P23" s="313"/>
      <c r="Q23" s="313"/>
      <c r="R23" s="319"/>
      <c r="S23" s="324"/>
      <c r="T23" s="350"/>
      <c r="U23" s="350"/>
      <c r="V23" s="299"/>
      <c r="W23" s="299"/>
      <c r="X23" s="299"/>
      <c r="Y23" s="299"/>
      <c r="Z23" s="313"/>
      <c r="AA23" s="313"/>
      <c r="AB23" s="313"/>
      <c r="AC23" s="338"/>
    </row>
    <row r="24" spans="1:29" ht="48" customHeight="1" x14ac:dyDescent="0.25">
      <c r="A24" s="795">
        <v>9</v>
      </c>
      <c r="B24" s="789" t="s">
        <v>765</v>
      </c>
      <c r="C24" s="790" t="s">
        <v>766</v>
      </c>
      <c r="D24" s="792" t="s">
        <v>767</v>
      </c>
      <c r="E24" s="817" t="s">
        <v>705</v>
      </c>
      <c r="F24" s="287" t="s">
        <v>19</v>
      </c>
      <c r="G24" s="288">
        <v>5.2</v>
      </c>
      <c r="H24" s="289">
        <v>7.86</v>
      </c>
      <c r="I24" s="794" t="s">
        <v>706</v>
      </c>
      <c r="J24" s="794" t="s">
        <v>271</v>
      </c>
      <c r="K24" s="318">
        <v>45203</v>
      </c>
      <c r="L24" s="285" t="s">
        <v>768</v>
      </c>
      <c r="M24" s="286">
        <v>37.206899999999997</v>
      </c>
      <c r="N24" s="286" t="s">
        <v>769</v>
      </c>
      <c r="O24" s="286">
        <v>37.001800000000003</v>
      </c>
      <c r="P24" s="286">
        <v>37.207000000000001</v>
      </c>
      <c r="Q24" s="286">
        <v>37.161000000000001</v>
      </c>
      <c r="R24" s="318">
        <v>45952</v>
      </c>
      <c r="S24" s="303">
        <f>R24-K24</f>
        <v>749</v>
      </c>
      <c r="T24" s="286">
        <f>M24-Q24</f>
        <v>4.5899999999996055E-2</v>
      </c>
      <c r="U24" s="286">
        <f>T24-0.01</f>
        <v>3.5899999999996053E-2</v>
      </c>
      <c r="V24" s="286">
        <f t="shared" si="4"/>
        <v>2.6116017938444969E-2</v>
      </c>
      <c r="W24" s="286"/>
      <c r="X24" s="343"/>
      <c r="Y24" s="343"/>
      <c r="Z24" s="780" t="s">
        <v>709</v>
      </c>
      <c r="AA24" s="356" t="s">
        <v>946</v>
      </c>
      <c r="AB24" s="356" t="s">
        <v>960</v>
      </c>
      <c r="AC24" s="782" t="s">
        <v>0</v>
      </c>
    </row>
    <row r="25" spans="1:29" ht="48" customHeight="1" x14ac:dyDescent="0.25">
      <c r="A25" s="795"/>
      <c r="B25" s="789"/>
      <c r="C25" s="791"/>
      <c r="D25" s="792"/>
      <c r="E25" s="793"/>
      <c r="F25" s="277" t="s">
        <v>19</v>
      </c>
      <c r="G25" s="278">
        <v>5.2</v>
      </c>
      <c r="H25" s="279">
        <v>7.86</v>
      </c>
      <c r="I25" s="794"/>
      <c r="J25" s="794"/>
      <c r="K25" s="318">
        <v>45203</v>
      </c>
      <c r="L25" s="285" t="s">
        <v>770</v>
      </c>
      <c r="M25" s="286">
        <v>36.711500000000001</v>
      </c>
      <c r="N25" s="286" t="s">
        <v>771</v>
      </c>
      <c r="O25" s="286">
        <v>36.979599999999998</v>
      </c>
      <c r="P25" s="286">
        <v>36.72</v>
      </c>
      <c r="Q25" s="286">
        <v>36.664000000000001</v>
      </c>
      <c r="R25" s="318">
        <v>45952</v>
      </c>
      <c r="S25" s="303">
        <f>R25-K25</f>
        <v>749</v>
      </c>
      <c r="T25" s="286">
        <f t="shared" ref="T25:T43" si="10">M25-Q25</f>
        <v>4.7499999999999432E-2</v>
      </c>
      <c r="U25" s="286">
        <f>T25-0.01</f>
        <v>3.749999999999943E-2</v>
      </c>
      <c r="V25" s="286">
        <f t="shared" si="4"/>
        <v>2.7279963027626159E-2</v>
      </c>
      <c r="W25" s="286"/>
      <c r="X25" s="343"/>
      <c r="Y25" s="343"/>
      <c r="Z25" s="780"/>
      <c r="AA25" s="356" t="s">
        <v>946</v>
      </c>
      <c r="AB25" s="356" t="s">
        <v>960</v>
      </c>
      <c r="AC25" s="782"/>
    </row>
    <row r="26" spans="1:29" ht="48" customHeight="1" x14ac:dyDescent="0.25">
      <c r="A26" s="788">
        <v>10</v>
      </c>
      <c r="B26" s="815" t="s">
        <v>772</v>
      </c>
      <c r="C26" s="816" t="s">
        <v>773</v>
      </c>
      <c r="D26" s="798" t="s">
        <v>310</v>
      </c>
      <c r="E26" s="817" t="s">
        <v>705</v>
      </c>
      <c r="F26" s="287" t="s">
        <v>19</v>
      </c>
      <c r="G26" s="288">
        <v>5.2</v>
      </c>
      <c r="H26" s="289">
        <v>7.86</v>
      </c>
      <c r="I26" s="817" t="s">
        <v>774</v>
      </c>
      <c r="J26" s="814" t="s">
        <v>775</v>
      </c>
      <c r="K26" s="318">
        <v>45203</v>
      </c>
      <c r="L26" s="291" t="s">
        <v>776</v>
      </c>
      <c r="M26" s="292">
        <v>37.090400000000002</v>
      </c>
      <c r="N26" s="292" t="s">
        <v>777</v>
      </c>
      <c r="O26" s="292">
        <v>36.939500000000002</v>
      </c>
      <c r="P26" s="286">
        <v>37.18</v>
      </c>
      <c r="Q26" s="286">
        <v>37.061</v>
      </c>
      <c r="R26" s="318">
        <v>45952</v>
      </c>
      <c r="S26" s="303">
        <f>R26-K26</f>
        <v>749</v>
      </c>
      <c r="T26" s="286">
        <f t="shared" si="10"/>
        <v>2.9400000000002535E-2</v>
      </c>
      <c r="U26" s="286">
        <f>T26-0.01</f>
        <v>1.9400000000002533E-2</v>
      </c>
      <c r="V26" s="286">
        <f t="shared" si="4"/>
        <v>1.411283420629399E-2</v>
      </c>
      <c r="W26" s="286"/>
      <c r="X26" s="343"/>
      <c r="Y26" s="343"/>
      <c r="Z26" s="808" t="s">
        <v>749</v>
      </c>
      <c r="AA26" s="356" t="s">
        <v>946</v>
      </c>
      <c r="AB26" s="356" t="s">
        <v>960</v>
      </c>
      <c r="AC26" s="781" t="s">
        <v>0</v>
      </c>
    </row>
    <row r="27" spans="1:29" ht="48" customHeight="1" thickBot="1" x14ac:dyDescent="0.3">
      <c r="A27" s="821"/>
      <c r="B27" s="822"/>
      <c r="C27" s="823"/>
      <c r="D27" s="824"/>
      <c r="E27" s="793"/>
      <c r="F27" s="277" t="s">
        <v>19</v>
      </c>
      <c r="G27" s="278">
        <v>5.2</v>
      </c>
      <c r="H27" s="279">
        <v>7.86</v>
      </c>
      <c r="I27" s="825"/>
      <c r="J27" s="820"/>
      <c r="K27" s="318">
        <v>45203</v>
      </c>
      <c r="L27" s="293" t="s">
        <v>778</v>
      </c>
      <c r="M27" s="282">
        <v>36.939599999999999</v>
      </c>
      <c r="N27" s="282" t="s">
        <v>779</v>
      </c>
      <c r="O27" s="282">
        <v>37.021999999999998</v>
      </c>
      <c r="P27" s="286">
        <v>37.06</v>
      </c>
      <c r="Q27" s="286">
        <v>36.905000000000001</v>
      </c>
      <c r="R27" s="318">
        <v>45952</v>
      </c>
      <c r="S27" s="303">
        <f>R27-K27</f>
        <v>749</v>
      </c>
      <c r="T27" s="286">
        <f t="shared" si="10"/>
        <v>3.4599999999997522E-2</v>
      </c>
      <c r="U27" s="286">
        <f>T27-0.01</f>
        <v>2.459999999999752E-2</v>
      </c>
      <c r="V27" s="286">
        <f t="shared" si="4"/>
        <v>1.7895655746121227E-2</v>
      </c>
      <c r="W27" s="286"/>
      <c r="X27" s="343"/>
      <c r="Y27" s="343"/>
      <c r="Z27" s="819"/>
      <c r="AA27" s="356" t="s">
        <v>946</v>
      </c>
      <c r="AB27" s="356" t="s">
        <v>960</v>
      </c>
      <c r="AC27" s="818"/>
    </row>
    <row r="28" spans="1:29" ht="48" customHeight="1" thickBot="1" x14ac:dyDescent="0.3">
      <c r="A28" s="336" t="s">
        <v>780</v>
      </c>
      <c r="B28" s="313"/>
      <c r="C28" s="313"/>
      <c r="D28" s="313"/>
      <c r="E28" s="313"/>
      <c r="F28" s="313"/>
      <c r="G28" s="313"/>
      <c r="H28" s="313"/>
      <c r="I28" s="313"/>
      <c r="J28" s="313"/>
      <c r="K28" s="319"/>
      <c r="L28" s="313"/>
      <c r="M28" s="313"/>
      <c r="N28" s="313"/>
      <c r="O28" s="313"/>
      <c r="P28" s="313"/>
      <c r="Q28" s="313"/>
      <c r="R28" s="319"/>
      <c r="S28" s="325"/>
      <c r="T28" s="351"/>
      <c r="U28" s="351"/>
      <c r="V28" s="313"/>
      <c r="W28" s="313"/>
      <c r="X28" s="313"/>
      <c r="Y28" s="313"/>
      <c r="Z28" s="313"/>
      <c r="AA28" s="313"/>
      <c r="AB28" s="313"/>
      <c r="AC28" s="338"/>
    </row>
    <row r="29" spans="1:29" ht="48" customHeight="1" x14ac:dyDescent="0.25">
      <c r="A29" s="795">
        <v>11</v>
      </c>
      <c r="B29" s="789" t="s">
        <v>781</v>
      </c>
      <c r="C29" s="790" t="s">
        <v>782</v>
      </c>
      <c r="D29" s="792" t="s">
        <v>310</v>
      </c>
      <c r="E29" s="813" t="s">
        <v>705</v>
      </c>
      <c r="F29" s="271" t="s">
        <v>19</v>
      </c>
      <c r="G29" s="272">
        <v>5.2</v>
      </c>
      <c r="H29" s="273">
        <v>7.86</v>
      </c>
      <c r="I29" s="794" t="s">
        <v>783</v>
      </c>
      <c r="J29" s="794" t="s">
        <v>717</v>
      </c>
      <c r="K29" s="318">
        <v>45202</v>
      </c>
      <c r="L29" s="285" t="s">
        <v>784</v>
      </c>
      <c r="M29" s="286">
        <v>37.308599999999998</v>
      </c>
      <c r="N29" s="286" t="s">
        <v>785</v>
      </c>
      <c r="O29" s="286">
        <v>37.052100000000003</v>
      </c>
      <c r="P29" s="286">
        <v>37.417000000000002</v>
      </c>
      <c r="Q29" s="286">
        <v>37.270000000000003</v>
      </c>
      <c r="R29" s="318">
        <v>45951</v>
      </c>
      <c r="S29" s="303">
        <f>R29-K29</f>
        <v>749</v>
      </c>
      <c r="T29" s="286">
        <f t="shared" si="10"/>
        <v>3.8599999999995305E-2</v>
      </c>
      <c r="U29" s="286">
        <f>T29-0.01</f>
        <v>2.8599999999995303E-2</v>
      </c>
      <c r="V29" s="286">
        <f t="shared" si="4"/>
        <v>2.0805518469066451E-2</v>
      </c>
      <c r="W29" s="286"/>
      <c r="X29" s="343"/>
      <c r="Y29" s="343"/>
      <c r="Z29" s="780" t="s">
        <v>709</v>
      </c>
      <c r="AA29" s="357" t="s">
        <v>947</v>
      </c>
      <c r="AB29" s="357" t="s">
        <v>976</v>
      </c>
      <c r="AC29" s="799" t="s">
        <v>0</v>
      </c>
    </row>
    <row r="30" spans="1:29" ht="48" customHeight="1" thickBot="1" x14ac:dyDescent="0.3">
      <c r="A30" s="795"/>
      <c r="B30" s="789"/>
      <c r="C30" s="791"/>
      <c r="D30" s="792"/>
      <c r="E30" s="793"/>
      <c r="F30" s="277" t="s">
        <v>19</v>
      </c>
      <c r="G30" s="278">
        <v>5.2</v>
      </c>
      <c r="H30" s="279">
        <v>7.86</v>
      </c>
      <c r="I30" s="794"/>
      <c r="J30" s="794"/>
      <c r="K30" s="318">
        <v>45202</v>
      </c>
      <c r="L30" s="285" t="s">
        <v>786</v>
      </c>
      <c r="M30" s="286">
        <v>36.780900000000003</v>
      </c>
      <c r="N30" s="286" t="s">
        <v>787</v>
      </c>
      <c r="O30" s="286">
        <v>36.965899999999998</v>
      </c>
      <c r="P30" s="286">
        <v>36.901000000000003</v>
      </c>
      <c r="Q30" s="286">
        <v>36.76</v>
      </c>
      <c r="R30" s="318">
        <v>45951</v>
      </c>
      <c r="S30" s="303">
        <f>R30-K30</f>
        <v>749</v>
      </c>
      <c r="T30" s="286">
        <f t="shared" si="10"/>
        <v>2.0900000000004582E-2</v>
      </c>
      <c r="U30" s="286">
        <f>T30-0.01</f>
        <v>1.0900000000004581E-2</v>
      </c>
      <c r="V30" s="286">
        <f t="shared" si="4"/>
        <v>7.9293759200334581E-3</v>
      </c>
      <c r="W30" s="286"/>
      <c r="X30" s="343"/>
      <c r="Y30" s="343"/>
      <c r="Z30" s="780"/>
      <c r="AA30" s="357" t="s">
        <v>947</v>
      </c>
      <c r="AB30" s="357" t="s">
        <v>976</v>
      </c>
      <c r="AC30" s="782"/>
    </row>
    <row r="31" spans="1:29" ht="48" customHeight="1" thickBot="1" x14ac:dyDescent="0.3">
      <c r="A31" s="336" t="s">
        <v>788</v>
      </c>
      <c r="B31" s="313"/>
      <c r="C31" s="313"/>
      <c r="D31" s="313"/>
      <c r="E31" s="313"/>
      <c r="F31" s="313"/>
      <c r="G31" s="313"/>
      <c r="H31" s="313"/>
      <c r="I31" s="313"/>
      <c r="J31" s="313"/>
      <c r="K31" s="319"/>
      <c r="L31" s="313"/>
      <c r="M31" s="313"/>
      <c r="N31" s="313"/>
      <c r="O31" s="313"/>
      <c r="P31" s="313"/>
      <c r="Q31" s="313"/>
      <c r="R31" s="319"/>
      <c r="S31" s="325"/>
      <c r="T31" s="351"/>
      <c r="U31" s="351"/>
      <c r="V31" s="313"/>
      <c r="W31" s="313"/>
      <c r="X31" s="313"/>
      <c r="Y31" s="313"/>
      <c r="Z31" s="313"/>
      <c r="AA31" s="313"/>
      <c r="AB31" s="313"/>
      <c r="AC31" s="338"/>
    </row>
    <row r="32" spans="1:29" ht="66" customHeight="1" x14ac:dyDescent="0.25">
      <c r="A32" s="809">
        <v>12</v>
      </c>
      <c r="B32" s="810" t="s">
        <v>789</v>
      </c>
      <c r="C32" s="811" t="s">
        <v>790</v>
      </c>
      <c r="D32" s="812" t="s">
        <v>791</v>
      </c>
      <c r="E32" s="813" t="s">
        <v>705</v>
      </c>
      <c r="F32" s="271" t="s">
        <v>19</v>
      </c>
      <c r="G32" s="272">
        <v>5.2</v>
      </c>
      <c r="H32" s="273">
        <v>7.86</v>
      </c>
      <c r="I32" s="794" t="s">
        <v>792</v>
      </c>
      <c r="J32" s="794" t="s">
        <v>271</v>
      </c>
      <c r="K32" s="318">
        <v>45207</v>
      </c>
      <c r="L32" s="285" t="s">
        <v>793</v>
      </c>
      <c r="M32" s="286">
        <v>37.155200000000001</v>
      </c>
      <c r="N32" s="292" t="s">
        <v>794</v>
      </c>
      <c r="O32" s="292">
        <v>37.011000000000003</v>
      </c>
      <c r="P32" s="286">
        <v>37.244999999999997</v>
      </c>
      <c r="Q32" s="286">
        <v>36.869999999999997</v>
      </c>
      <c r="R32" s="318">
        <v>45957</v>
      </c>
      <c r="S32" s="303">
        <f>R32-K32</f>
        <v>750</v>
      </c>
      <c r="T32" s="286">
        <f t="shared" si="10"/>
        <v>0.28520000000000323</v>
      </c>
      <c r="U32" s="286">
        <f>T32-0.01</f>
        <v>0.27520000000000322</v>
      </c>
      <c r="V32" s="286">
        <f t="shared" si="4"/>
        <v>0.19993162393162628</v>
      </c>
      <c r="W32" s="286">
        <v>0.01</v>
      </c>
      <c r="X32" s="286">
        <f>W32*39.4</f>
        <v>0.39400000000000002</v>
      </c>
      <c r="Y32" s="286">
        <f t="shared" ref="Y32:Y33" si="11">(X32*365)/S32</f>
        <v>0.19174666666666668</v>
      </c>
      <c r="Z32" s="806" t="s">
        <v>749</v>
      </c>
      <c r="AA32" s="356" t="s">
        <v>948</v>
      </c>
      <c r="AB32" s="359" t="s">
        <v>977</v>
      </c>
      <c r="AC32" s="799" t="s">
        <v>0</v>
      </c>
    </row>
    <row r="33" spans="1:29" ht="48" customHeight="1" thickBot="1" x14ac:dyDescent="0.3">
      <c r="A33" s="795"/>
      <c r="B33" s="789"/>
      <c r="C33" s="791"/>
      <c r="D33" s="792"/>
      <c r="E33" s="793"/>
      <c r="F33" s="277" t="s">
        <v>19</v>
      </c>
      <c r="G33" s="278">
        <v>5.2</v>
      </c>
      <c r="H33" s="279">
        <v>7.86</v>
      </c>
      <c r="I33" s="794"/>
      <c r="J33" s="794"/>
      <c r="K33" s="318">
        <v>45207</v>
      </c>
      <c r="L33" s="285" t="s">
        <v>795</v>
      </c>
      <c r="M33" s="286">
        <v>37.065300000000001</v>
      </c>
      <c r="N33" s="286" t="s">
        <v>796</v>
      </c>
      <c r="O33" s="286">
        <v>36.9621</v>
      </c>
      <c r="P33" s="286">
        <v>37.094999999999999</v>
      </c>
      <c r="Q33" s="286">
        <v>36.76</v>
      </c>
      <c r="R33" s="318">
        <v>45957</v>
      </c>
      <c r="S33" s="303">
        <f>R33-K33</f>
        <v>750</v>
      </c>
      <c r="T33" s="286">
        <f t="shared" si="10"/>
        <v>0.30530000000000257</v>
      </c>
      <c r="U33" s="286">
        <f>T33-0.01</f>
        <v>0.29530000000000256</v>
      </c>
      <c r="V33" s="286">
        <f t="shared" si="4"/>
        <v>0.21453418803418992</v>
      </c>
      <c r="W33" s="286">
        <v>0.01</v>
      </c>
      <c r="X33" s="286">
        <f>W33*39.4</f>
        <v>0.39400000000000002</v>
      </c>
      <c r="Y33" s="286">
        <f t="shared" si="11"/>
        <v>0.19174666666666668</v>
      </c>
      <c r="Z33" s="780"/>
      <c r="AA33" s="356" t="s">
        <v>948</v>
      </c>
      <c r="AB33" s="359" t="s">
        <v>977</v>
      </c>
      <c r="AC33" s="782"/>
    </row>
    <row r="34" spans="1:29" ht="48" customHeight="1" thickBot="1" x14ac:dyDescent="0.3">
      <c r="A34" s="336" t="s">
        <v>797</v>
      </c>
      <c r="B34" s="313"/>
      <c r="C34" s="313"/>
      <c r="D34" s="313"/>
      <c r="E34" s="313"/>
      <c r="F34" s="313"/>
      <c r="G34" s="313"/>
      <c r="H34" s="313"/>
      <c r="I34" s="313"/>
      <c r="J34" s="313"/>
      <c r="K34" s="319"/>
      <c r="L34" s="313"/>
      <c r="M34" s="313"/>
      <c r="N34" s="313"/>
      <c r="O34" s="313"/>
      <c r="P34" s="313"/>
      <c r="Q34" s="313"/>
      <c r="R34" s="319"/>
      <c r="S34" s="325"/>
      <c r="T34" s="351"/>
      <c r="U34" s="351"/>
      <c r="V34" s="313"/>
      <c r="W34" s="313"/>
      <c r="X34" s="313"/>
      <c r="Y34" s="313"/>
      <c r="Z34" s="313"/>
      <c r="AA34" s="313"/>
      <c r="AB34" s="313"/>
      <c r="AC34" s="338"/>
    </row>
    <row r="35" spans="1:29" ht="60.6" customHeight="1" thickBot="1" x14ac:dyDescent="0.3">
      <c r="A35" s="326">
        <v>13</v>
      </c>
      <c r="B35" s="328" t="s">
        <v>798</v>
      </c>
      <c r="C35" s="342" t="s">
        <v>799</v>
      </c>
      <c r="D35" s="327" t="s">
        <v>310</v>
      </c>
      <c r="E35" s="270" t="s">
        <v>745</v>
      </c>
      <c r="F35" s="271" t="s">
        <v>19</v>
      </c>
      <c r="G35" s="272">
        <v>2.5</v>
      </c>
      <c r="H35" s="294">
        <v>7.86</v>
      </c>
      <c r="I35" s="295" t="s">
        <v>800</v>
      </c>
      <c r="J35" s="296" t="s">
        <v>271</v>
      </c>
      <c r="K35" s="317">
        <v>45207</v>
      </c>
      <c r="L35" s="297" t="s">
        <v>801</v>
      </c>
      <c r="M35" s="298">
        <v>17.609000000000002</v>
      </c>
      <c r="N35" s="298" t="s">
        <v>802</v>
      </c>
      <c r="O35" s="298">
        <v>17.107800000000001</v>
      </c>
      <c r="P35" s="298">
        <v>16.962</v>
      </c>
      <c r="Q35" s="298">
        <v>16.552</v>
      </c>
      <c r="R35" s="318">
        <v>45958</v>
      </c>
      <c r="S35" s="303">
        <f>R35-K35</f>
        <v>751</v>
      </c>
      <c r="T35" s="286">
        <f t="shared" si="10"/>
        <v>1.0570000000000022</v>
      </c>
      <c r="U35" s="286">
        <f>T35-0.01</f>
        <v>1.0470000000000022</v>
      </c>
      <c r="V35" s="286">
        <f t="shared" si="4"/>
        <v>1.5800266311584585</v>
      </c>
      <c r="W35" s="276">
        <v>0.79</v>
      </c>
      <c r="X35" s="286">
        <f>W35*39.4</f>
        <v>31.126000000000001</v>
      </c>
      <c r="Y35" s="286">
        <f>(X35*365)/S35</f>
        <v>15.127816245006658</v>
      </c>
      <c r="Z35" s="344" t="s">
        <v>709</v>
      </c>
      <c r="AA35" s="356" t="s">
        <v>949</v>
      </c>
      <c r="AB35" s="361" t="s">
        <v>962</v>
      </c>
      <c r="AC35" s="345" t="s">
        <v>0</v>
      </c>
    </row>
    <row r="36" spans="1:29" ht="48" customHeight="1" thickBot="1" x14ac:dyDescent="0.3">
      <c r="A36" s="336" t="s">
        <v>803</v>
      </c>
      <c r="B36" s="313"/>
      <c r="C36" s="313"/>
      <c r="D36" s="313"/>
      <c r="E36" s="313"/>
      <c r="F36" s="313"/>
      <c r="G36" s="313"/>
      <c r="H36" s="313"/>
      <c r="I36" s="299"/>
      <c r="J36" s="785"/>
      <c r="K36" s="785"/>
      <c r="L36" s="785"/>
      <c r="M36" s="785"/>
      <c r="N36" s="785"/>
      <c r="O36" s="785"/>
      <c r="P36" s="785"/>
      <c r="Q36" s="785"/>
      <c r="R36" s="785"/>
      <c r="S36" s="785"/>
      <c r="T36" s="785"/>
      <c r="U36" s="785"/>
      <c r="V36" s="785"/>
      <c r="W36" s="785"/>
      <c r="X36" s="785"/>
      <c r="Y36" s="785"/>
      <c r="Z36" s="785"/>
      <c r="AA36" s="785"/>
      <c r="AB36" s="785"/>
      <c r="AC36" s="786"/>
    </row>
    <row r="37" spans="1:29" ht="48" customHeight="1" thickBot="1" x14ac:dyDescent="0.3">
      <c r="A37" s="809">
        <v>14</v>
      </c>
      <c r="B37" s="810" t="s">
        <v>804</v>
      </c>
      <c r="C37" s="816" t="s">
        <v>805</v>
      </c>
      <c r="D37" s="812" t="s">
        <v>806</v>
      </c>
      <c r="E37" s="813" t="s">
        <v>705</v>
      </c>
      <c r="F37" s="271" t="s">
        <v>19</v>
      </c>
      <c r="G37" s="272">
        <v>5.2</v>
      </c>
      <c r="H37" s="273">
        <v>7.86</v>
      </c>
      <c r="I37" s="805" t="s">
        <v>807</v>
      </c>
      <c r="J37" s="805" t="s">
        <v>271</v>
      </c>
      <c r="K37" s="316">
        <v>45207</v>
      </c>
      <c r="L37" s="284" t="s">
        <v>808</v>
      </c>
      <c r="M37" s="276">
        <v>37.077399999999997</v>
      </c>
      <c r="N37" s="276" t="s">
        <v>809</v>
      </c>
      <c r="O37" s="276">
        <v>36.962899999999998</v>
      </c>
      <c r="P37" s="286">
        <v>37.167999999999999</v>
      </c>
      <c r="Q37" s="286">
        <v>36.960999999999999</v>
      </c>
      <c r="R37" s="318">
        <v>45959</v>
      </c>
      <c r="S37" s="303">
        <f t="shared" ref="S37:S40" si="12">R37-K37</f>
        <v>752</v>
      </c>
      <c r="T37" s="286">
        <f t="shared" si="10"/>
        <v>0.11639999999999873</v>
      </c>
      <c r="U37" s="286">
        <f>T37-0.01</f>
        <v>0.10639999999999873</v>
      </c>
      <c r="V37" s="286">
        <f t="shared" si="4"/>
        <v>7.709356246590196E-2</v>
      </c>
      <c r="W37" s="286"/>
      <c r="X37" s="343"/>
      <c r="Y37" s="343"/>
      <c r="Z37" s="806" t="s">
        <v>749</v>
      </c>
      <c r="AA37" s="354" t="s">
        <v>950</v>
      </c>
      <c r="AB37" s="354" t="s">
        <v>979</v>
      </c>
      <c r="AC37" s="799" t="s">
        <v>0</v>
      </c>
    </row>
    <row r="38" spans="1:29" ht="48" customHeight="1" thickBot="1" x14ac:dyDescent="0.3">
      <c r="A38" s="795"/>
      <c r="B38" s="789"/>
      <c r="C38" s="791"/>
      <c r="D38" s="792"/>
      <c r="E38" s="793"/>
      <c r="F38" s="277" t="s">
        <v>19</v>
      </c>
      <c r="G38" s="278">
        <v>5.2</v>
      </c>
      <c r="H38" s="279">
        <v>7.86</v>
      </c>
      <c r="I38" s="794"/>
      <c r="J38" s="794"/>
      <c r="K38" s="316">
        <v>45207</v>
      </c>
      <c r="L38" s="285" t="s">
        <v>810</v>
      </c>
      <c r="M38" s="286">
        <v>37.153500000000001</v>
      </c>
      <c r="N38" s="286" t="s">
        <v>811</v>
      </c>
      <c r="O38" s="286">
        <v>37.004600000000003</v>
      </c>
      <c r="P38" s="286">
        <v>37.268000000000001</v>
      </c>
      <c r="Q38" s="286">
        <v>37.009</v>
      </c>
      <c r="R38" s="318">
        <v>45959</v>
      </c>
      <c r="S38" s="303">
        <f t="shared" si="12"/>
        <v>752</v>
      </c>
      <c r="T38" s="286">
        <f t="shared" si="10"/>
        <v>0.14450000000000074</v>
      </c>
      <c r="U38" s="286">
        <f>T38-0.01</f>
        <v>0.13450000000000073</v>
      </c>
      <c r="V38" s="286">
        <f t="shared" si="4"/>
        <v>9.7453798417894685E-2</v>
      </c>
      <c r="W38" s="286"/>
      <c r="X38" s="343"/>
      <c r="Y38" s="343"/>
      <c r="Z38" s="780"/>
      <c r="AA38" s="354" t="s">
        <v>950</v>
      </c>
      <c r="AB38" s="354" t="s">
        <v>980</v>
      </c>
      <c r="AC38" s="782"/>
    </row>
    <row r="39" spans="1:29" ht="48" customHeight="1" thickBot="1" x14ac:dyDescent="0.3">
      <c r="A39" s="788">
        <v>15</v>
      </c>
      <c r="B39" s="815" t="s">
        <v>812</v>
      </c>
      <c r="C39" s="816" t="s">
        <v>813</v>
      </c>
      <c r="D39" s="798" t="s">
        <v>806</v>
      </c>
      <c r="E39" s="817" t="s">
        <v>705</v>
      </c>
      <c r="F39" s="287" t="s">
        <v>19</v>
      </c>
      <c r="G39" s="288">
        <v>5.2</v>
      </c>
      <c r="H39" s="289">
        <v>7.86</v>
      </c>
      <c r="I39" s="814" t="s">
        <v>814</v>
      </c>
      <c r="J39" s="814" t="s">
        <v>271</v>
      </c>
      <c r="K39" s="316">
        <v>45207</v>
      </c>
      <c r="L39" s="291" t="s">
        <v>815</v>
      </c>
      <c r="M39" s="292">
        <v>37.120800000000003</v>
      </c>
      <c r="N39" s="292" t="s">
        <v>816</v>
      </c>
      <c r="O39" s="292">
        <v>36.9908</v>
      </c>
      <c r="P39" s="286">
        <v>37.85</v>
      </c>
      <c r="Q39" s="286">
        <v>36.887</v>
      </c>
      <c r="R39" s="318">
        <v>45959</v>
      </c>
      <c r="S39" s="303">
        <f t="shared" si="12"/>
        <v>752</v>
      </c>
      <c r="T39" s="286">
        <f t="shared" si="10"/>
        <v>0.23380000000000223</v>
      </c>
      <c r="U39" s="286">
        <f>T39-0.01</f>
        <v>0.22380000000000222</v>
      </c>
      <c r="V39" s="286">
        <f t="shared" si="4"/>
        <v>0.16215732405892141</v>
      </c>
      <c r="W39" s="286">
        <v>0.02</v>
      </c>
      <c r="X39" s="286">
        <f>W39*39.4</f>
        <v>0.78800000000000003</v>
      </c>
      <c r="Y39" s="286">
        <f t="shared" ref="Y39:Y40" si="13">(X39*365)/S39</f>
        <v>0.38247340425531917</v>
      </c>
      <c r="Z39" s="808" t="s">
        <v>749</v>
      </c>
      <c r="AA39" s="357" t="s">
        <v>951</v>
      </c>
      <c r="AB39" s="360" t="s">
        <v>963</v>
      </c>
      <c r="AC39" s="781" t="s">
        <v>0</v>
      </c>
    </row>
    <row r="40" spans="1:29" ht="48" customHeight="1" thickBot="1" x14ac:dyDescent="0.3">
      <c r="A40" s="795"/>
      <c r="B40" s="789"/>
      <c r="C40" s="791"/>
      <c r="D40" s="792"/>
      <c r="E40" s="793"/>
      <c r="F40" s="277" t="s">
        <v>19</v>
      </c>
      <c r="G40" s="278">
        <v>5.2</v>
      </c>
      <c r="H40" s="279">
        <v>7.86</v>
      </c>
      <c r="I40" s="794"/>
      <c r="J40" s="794"/>
      <c r="K40" s="316">
        <v>45207</v>
      </c>
      <c r="L40" s="285" t="s">
        <v>817</v>
      </c>
      <c r="M40" s="286">
        <v>37.153500000000001</v>
      </c>
      <c r="N40" s="286" t="s">
        <v>818</v>
      </c>
      <c r="O40" s="286">
        <v>37.942799999999998</v>
      </c>
      <c r="P40" s="286">
        <v>37.741999999999997</v>
      </c>
      <c r="Q40" s="286">
        <v>36.752000000000002</v>
      </c>
      <c r="R40" s="318">
        <v>45959</v>
      </c>
      <c r="S40" s="303">
        <f t="shared" si="12"/>
        <v>752</v>
      </c>
      <c r="T40" s="286">
        <f t="shared" si="10"/>
        <v>0.40149999999999864</v>
      </c>
      <c r="U40" s="286">
        <f>T40-0.01</f>
        <v>0.39149999999999863</v>
      </c>
      <c r="V40" s="286">
        <f t="shared" si="4"/>
        <v>0.2836666325695571</v>
      </c>
      <c r="W40" s="286">
        <v>0.01</v>
      </c>
      <c r="X40" s="286">
        <f>W40*39.4</f>
        <v>0.39400000000000002</v>
      </c>
      <c r="Y40" s="286">
        <f t="shared" si="13"/>
        <v>0.19123670212765959</v>
      </c>
      <c r="Z40" s="780"/>
      <c r="AA40" s="357" t="s">
        <v>951</v>
      </c>
      <c r="AB40" s="360" t="s">
        <v>963</v>
      </c>
      <c r="AC40" s="782"/>
    </row>
    <row r="41" spans="1:29" ht="48" customHeight="1" thickBot="1" x14ac:dyDescent="0.3">
      <c r="A41" s="336" t="s">
        <v>819</v>
      </c>
      <c r="B41" s="313"/>
      <c r="C41" s="313"/>
      <c r="D41" s="313"/>
      <c r="E41" s="313"/>
      <c r="F41" s="313"/>
      <c r="G41" s="313"/>
      <c r="H41" s="313"/>
      <c r="I41" s="313"/>
      <c r="J41" s="313"/>
      <c r="K41" s="319"/>
      <c r="L41" s="313"/>
      <c r="M41" s="313"/>
      <c r="N41" s="313"/>
      <c r="O41" s="313"/>
      <c r="P41" s="313"/>
      <c r="Q41" s="313"/>
      <c r="R41" s="319"/>
      <c r="S41" s="325"/>
      <c r="T41" s="351"/>
      <c r="U41" s="351"/>
      <c r="V41" s="313"/>
      <c r="W41" s="313"/>
      <c r="X41" s="313"/>
      <c r="Y41" s="313"/>
      <c r="Z41" s="313"/>
      <c r="AA41" s="313"/>
      <c r="AB41" s="313"/>
      <c r="AC41" s="338"/>
    </row>
    <row r="42" spans="1:29" ht="48" customHeight="1" thickBot="1" x14ac:dyDescent="0.3">
      <c r="A42" s="809">
        <v>16</v>
      </c>
      <c r="B42" s="810" t="s">
        <v>820</v>
      </c>
      <c r="C42" s="811" t="s">
        <v>821</v>
      </c>
      <c r="D42" s="812" t="s">
        <v>315</v>
      </c>
      <c r="E42" s="813" t="s">
        <v>89</v>
      </c>
      <c r="F42" s="274" t="s">
        <v>19</v>
      </c>
      <c r="G42" s="300">
        <v>5.2</v>
      </c>
      <c r="H42" s="301">
        <v>7.86</v>
      </c>
      <c r="I42" s="805" t="s">
        <v>822</v>
      </c>
      <c r="J42" s="805" t="s">
        <v>717</v>
      </c>
      <c r="K42" s="318">
        <v>45205</v>
      </c>
      <c r="L42" s="284" t="s">
        <v>823</v>
      </c>
      <c r="M42" s="276">
        <v>36.989600000000003</v>
      </c>
      <c r="N42" s="276" t="s">
        <v>824</v>
      </c>
      <c r="O42" s="276">
        <v>36.914099999999998</v>
      </c>
      <c r="P42" s="286">
        <v>37.021999999999998</v>
      </c>
      <c r="Q42" s="286">
        <v>36.963999999999999</v>
      </c>
      <c r="R42" s="318">
        <v>45956</v>
      </c>
      <c r="S42" s="303">
        <f t="shared" ref="S42:S59" si="14">R42-K42</f>
        <v>751</v>
      </c>
      <c r="T42" s="286">
        <f t="shared" si="10"/>
        <v>2.5600000000004286E-2</v>
      </c>
      <c r="U42" s="286">
        <f>T42-0.01</f>
        <v>1.5600000000004286E-2</v>
      </c>
      <c r="V42" s="286">
        <f t="shared" si="4"/>
        <v>1.1318242343545051E-2</v>
      </c>
      <c r="W42" s="286"/>
      <c r="X42" s="343"/>
      <c r="Y42" s="343"/>
      <c r="Z42" s="806" t="s">
        <v>709</v>
      </c>
      <c r="AA42" s="354" t="s">
        <v>946</v>
      </c>
      <c r="AB42" s="354" t="s">
        <v>981</v>
      </c>
      <c r="AC42" s="799" t="s">
        <v>0</v>
      </c>
    </row>
    <row r="43" spans="1:29" ht="48" customHeight="1" thickBot="1" x14ac:dyDescent="0.3">
      <c r="A43" s="795"/>
      <c r="B43" s="789"/>
      <c r="C43" s="791"/>
      <c r="D43" s="792"/>
      <c r="E43" s="793"/>
      <c r="F43" s="280" t="s">
        <v>19</v>
      </c>
      <c r="G43" s="302">
        <v>5.2</v>
      </c>
      <c r="H43" s="303">
        <v>7.86</v>
      </c>
      <c r="I43" s="794"/>
      <c r="J43" s="794"/>
      <c r="K43" s="318">
        <v>45205</v>
      </c>
      <c r="L43" s="285" t="s">
        <v>825</v>
      </c>
      <c r="M43" s="286">
        <v>37.142200000000003</v>
      </c>
      <c r="N43" s="283" t="s">
        <v>826</v>
      </c>
      <c r="O43" s="283">
        <v>37.005000000000003</v>
      </c>
      <c r="P43" s="286">
        <v>37.164000000000001</v>
      </c>
      <c r="Q43" s="286">
        <v>37.097999999999999</v>
      </c>
      <c r="R43" s="318">
        <v>45956</v>
      </c>
      <c r="S43" s="303">
        <f t="shared" si="14"/>
        <v>751</v>
      </c>
      <c r="T43" s="286">
        <f t="shared" si="10"/>
        <v>4.420000000000357E-2</v>
      </c>
      <c r="U43" s="286">
        <f>T43-0.01</f>
        <v>3.4200000000003568E-2</v>
      </c>
      <c r="V43" s="286">
        <f t="shared" si="4"/>
        <v>2.4813069753152235E-2</v>
      </c>
      <c r="W43" s="286"/>
      <c r="X43" s="343"/>
      <c r="Y43" s="343"/>
      <c r="Z43" s="807"/>
      <c r="AA43" s="354" t="s">
        <v>946</v>
      </c>
      <c r="AB43" s="354" t="s">
        <v>982</v>
      </c>
      <c r="AC43" s="782"/>
    </row>
    <row r="44" spans="1:29" ht="64.8" customHeight="1" thickBot="1" x14ac:dyDescent="0.3">
      <c r="A44" s="795">
        <v>17</v>
      </c>
      <c r="B44" s="789" t="s">
        <v>827</v>
      </c>
      <c r="C44" s="790" t="s">
        <v>828</v>
      </c>
      <c r="D44" s="792" t="s">
        <v>315</v>
      </c>
      <c r="E44" s="793" t="s">
        <v>89</v>
      </c>
      <c r="F44" s="280" t="s">
        <v>19</v>
      </c>
      <c r="G44" s="302">
        <v>5.2</v>
      </c>
      <c r="H44" s="303">
        <v>7.86</v>
      </c>
      <c r="I44" s="805" t="s">
        <v>822</v>
      </c>
      <c r="J44" s="794" t="s">
        <v>717</v>
      </c>
      <c r="K44" s="318">
        <v>45205</v>
      </c>
      <c r="L44" s="285" t="s">
        <v>829</v>
      </c>
      <c r="M44" s="286">
        <v>37.014000000000003</v>
      </c>
      <c r="N44" s="286" t="s">
        <v>830</v>
      </c>
      <c r="O44" s="286">
        <v>36.991199999999999</v>
      </c>
      <c r="P44" s="286">
        <v>36.973999999999997</v>
      </c>
      <c r="Q44" s="286">
        <v>36.924999999999997</v>
      </c>
      <c r="R44" s="318">
        <v>45956</v>
      </c>
      <c r="S44" s="303">
        <f t="shared" si="14"/>
        <v>751</v>
      </c>
      <c r="T44" s="286">
        <f>M44-Q44</f>
        <v>8.9000000000005741E-2</v>
      </c>
      <c r="U44" s="286">
        <f>T44-0.01</f>
        <v>7.9000000000005746E-2</v>
      </c>
      <c r="V44" s="286">
        <f t="shared" si="4"/>
        <v>5.7316740073069139E-2</v>
      </c>
      <c r="W44" s="286"/>
      <c r="X44" s="343"/>
      <c r="Y44" s="343"/>
      <c r="Z44" s="780" t="s">
        <v>709</v>
      </c>
      <c r="AA44" s="354" t="s">
        <v>952</v>
      </c>
      <c r="AB44" s="359" t="s">
        <v>964</v>
      </c>
      <c r="AC44" s="782" t="s">
        <v>566</v>
      </c>
    </row>
    <row r="45" spans="1:29" ht="48" customHeight="1" thickBot="1" x14ac:dyDescent="0.3">
      <c r="A45" s="795"/>
      <c r="B45" s="789"/>
      <c r="C45" s="791"/>
      <c r="D45" s="792"/>
      <c r="E45" s="793"/>
      <c r="F45" s="280" t="s">
        <v>19</v>
      </c>
      <c r="G45" s="302">
        <v>5.2</v>
      </c>
      <c r="H45" s="303">
        <v>7.86</v>
      </c>
      <c r="I45" s="794"/>
      <c r="J45" s="794"/>
      <c r="K45" s="318">
        <v>45205</v>
      </c>
      <c r="L45" s="285" t="s">
        <v>831</v>
      </c>
      <c r="M45" s="286">
        <v>37.207299999999996</v>
      </c>
      <c r="N45" s="286" t="s">
        <v>832</v>
      </c>
      <c r="O45" s="286">
        <v>37.039400000000001</v>
      </c>
      <c r="P45" s="286">
        <v>37.19</v>
      </c>
      <c r="Q45" s="286">
        <v>37.128</v>
      </c>
      <c r="R45" s="318">
        <v>45956</v>
      </c>
      <c r="S45" s="303">
        <f t="shared" si="14"/>
        <v>751</v>
      </c>
      <c r="T45" s="286">
        <f>M45-Q45</f>
        <v>7.9299999999996373E-2</v>
      </c>
      <c r="U45" s="286">
        <f t="shared" ref="U45:U59" si="15">T45-0.01</f>
        <v>6.9299999999996378E-2</v>
      </c>
      <c r="V45" s="286">
        <f t="shared" si="4"/>
        <v>5.0279115026116393E-2</v>
      </c>
      <c r="W45" s="286"/>
      <c r="X45" s="343"/>
      <c r="Y45" s="343"/>
      <c r="Z45" s="780"/>
      <c r="AA45" s="354" t="s">
        <v>946</v>
      </c>
      <c r="AB45" s="356" t="s">
        <v>978</v>
      </c>
      <c r="AC45" s="782"/>
    </row>
    <row r="46" spans="1:29" ht="48" customHeight="1" thickBot="1" x14ac:dyDescent="0.3">
      <c r="A46" s="795">
        <v>18</v>
      </c>
      <c r="B46" s="789" t="s">
        <v>833</v>
      </c>
      <c r="C46" s="790" t="s">
        <v>834</v>
      </c>
      <c r="D46" s="792" t="s">
        <v>315</v>
      </c>
      <c r="E46" s="793" t="s">
        <v>89</v>
      </c>
      <c r="F46" s="280" t="s">
        <v>19</v>
      </c>
      <c r="G46" s="302">
        <v>5.2</v>
      </c>
      <c r="H46" s="303">
        <v>7.86</v>
      </c>
      <c r="I46" s="793" t="s">
        <v>835</v>
      </c>
      <c r="J46" s="794" t="s">
        <v>717</v>
      </c>
      <c r="K46" s="318">
        <v>45205</v>
      </c>
      <c r="L46" s="285" t="s">
        <v>836</v>
      </c>
      <c r="M46" s="286">
        <v>36.820099999999996</v>
      </c>
      <c r="N46" s="286" t="s">
        <v>837</v>
      </c>
      <c r="O46" s="286">
        <v>36.9544</v>
      </c>
      <c r="P46" s="286">
        <v>36.783000000000001</v>
      </c>
      <c r="Q46" s="286">
        <v>36.720999999999997</v>
      </c>
      <c r="R46" s="318">
        <v>45956</v>
      </c>
      <c r="S46" s="303">
        <f t="shared" si="14"/>
        <v>751</v>
      </c>
      <c r="T46" s="286">
        <f>M46-Q46</f>
        <v>9.9099999999999966E-2</v>
      </c>
      <c r="U46" s="286">
        <f t="shared" si="15"/>
        <v>8.9099999999999971E-2</v>
      </c>
      <c r="V46" s="286">
        <f t="shared" si="4"/>
        <v>6.4644576462153006E-2</v>
      </c>
      <c r="W46" s="286"/>
      <c r="X46" s="343"/>
      <c r="Y46" s="343"/>
      <c r="Z46" s="780" t="s">
        <v>709</v>
      </c>
      <c r="AA46" s="354" t="s">
        <v>946</v>
      </c>
      <c r="AB46" s="356" t="s">
        <v>967</v>
      </c>
      <c r="AC46" s="782" t="s">
        <v>0</v>
      </c>
    </row>
    <row r="47" spans="1:29" ht="48" customHeight="1" x14ac:dyDescent="0.25">
      <c r="A47" s="795"/>
      <c r="B47" s="789"/>
      <c r="C47" s="791"/>
      <c r="D47" s="792"/>
      <c r="E47" s="793"/>
      <c r="F47" s="280" t="s">
        <v>19</v>
      </c>
      <c r="G47" s="302">
        <v>5.2</v>
      </c>
      <c r="H47" s="303">
        <v>7.86</v>
      </c>
      <c r="I47" s="793"/>
      <c r="J47" s="794"/>
      <c r="K47" s="318">
        <v>45205</v>
      </c>
      <c r="L47" s="285" t="s">
        <v>838</v>
      </c>
      <c r="M47" s="286">
        <v>37.08</v>
      </c>
      <c r="N47" s="286" t="s">
        <v>839</v>
      </c>
      <c r="O47" s="286">
        <v>37.012</v>
      </c>
      <c r="P47" s="286">
        <v>37.018999999999998</v>
      </c>
      <c r="Q47" s="286">
        <v>36.970999999999997</v>
      </c>
      <c r="R47" s="318">
        <v>45956</v>
      </c>
      <c r="S47" s="303">
        <f t="shared" si="14"/>
        <v>751</v>
      </c>
      <c r="T47" s="286">
        <f t="shared" ref="T47:T59" si="16">M47-Q47</f>
        <v>0.10900000000000176</v>
      </c>
      <c r="U47" s="286">
        <f t="shared" si="15"/>
        <v>9.9000000000001767E-2</v>
      </c>
      <c r="V47" s="286">
        <f t="shared" si="4"/>
        <v>7.1827307180171315E-2</v>
      </c>
      <c r="W47" s="286"/>
      <c r="X47" s="343"/>
      <c r="Y47" s="343"/>
      <c r="Z47" s="780"/>
      <c r="AA47" s="354" t="s">
        <v>946</v>
      </c>
      <c r="AB47" s="356" t="s">
        <v>967</v>
      </c>
      <c r="AC47" s="782"/>
    </row>
    <row r="48" spans="1:29" ht="57.6" customHeight="1" x14ac:dyDescent="0.25">
      <c r="A48" s="795">
        <v>19</v>
      </c>
      <c r="B48" s="789" t="s">
        <v>840</v>
      </c>
      <c r="C48" s="790" t="s">
        <v>841</v>
      </c>
      <c r="D48" s="792" t="s">
        <v>315</v>
      </c>
      <c r="E48" s="793" t="s">
        <v>89</v>
      </c>
      <c r="F48" s="280" t="s">
        <v>19</v>
      </c>
      <c r="G48" s="302">
        <v>5.2</v>
      </c>
      <c r="H48" s="303">
        <v>7.86</v>
      </c>
      <c r="I48" s="792" t="s">
        <v>842</v>
      </c>
      <c r="J48" s="794" t="s">
        <v>717</v>
      </c>
      <c r="K48" s="318">
        <v>45205</v>
      </c>
      <c r="L48" s="285" t="s">
        <v>843</v>
      </c>
      <c r="M48" s="304">
        <v>37.112299999999998</v>
      </c>
      <c r="N48" s="304" t="s">
        <v>844</v>
      </c>
      <c r="O48" s="304">
        <v>36.9604</v>
      </c>
      <c r="P48" s="286">
        <v>35.953000000000003</v>
      </c>
      <c r="Q48" s="286">
        <v>35.156999999999996</v>
      </c>
      <c r="R48" s="318">
        <v>45956</v>
      </c>
      <c r="S48" s="303">
        <f t="shared" si="14"/>
        <v>751</v>
      </c>
      <c r="T48" s="286">
        <f t="shared" si="16"/>
        <v>1.9553000000000011</v>
      </c>
      <c r="U48" s="286">
        <f t="shared" si="15"/>
        <v>1.9453000000000011</v>
      </c>
      <c r="V48" s="286">
        <f t="shared" si="4"/>
        <v>1.411370309672574</v>
      </c>
      <c r="W48" s="286">
        <v>0.09</v>
      </c>
      <c r="X48" s="286">
        <f>W48*39.4</f>
        <v>3.5459999999999998</v>
      </c>
      <c r="Y48" s="286">
        <f t="shared" ref="Y48:Y51" si="17">(X48*365)/S48</f>
        <v>1.7234221038615178</v>
      </c>
      <c r="Z48" s="780" t="s">
        <v>709</v>
      </c>
      <c r="AA48" s="356" t="s">
        <v>953</v>
      </c>
      <c r="AB48" s="359" t="s">
        <v>983</v>
      </c>
      <c r="AC48" s="782" t="s">
        <v>0</v>
      </c>
    </row>
    <row r="49" spans="1:29" ht="63.6" customHeight="1" x14ac:dyDescent="0.25">
      <c r="A49" s="795"/>
      <c r="B49" s="789"/>
      <c r="C49" s="791"/>
      <c r="D49" s="792"/>
      <c r="E49" s="793"/>
      <c r="F49" s="280" t="s">
        <v>19</v>
      </c>
      <c r="G49" s="302">
        <v>5.2</v>
      </c>
      <c r="H49" s="303">
        <v>7.86</v>
      </c>
      <c r="I49" s="792"/>
      <c r="J49" s="794"/>
      <c r="K49" s="318">
        <v>45205</v>
      </c>
      <c r="L49" s="285" t="s">
        <v>845</v>
      </c>
      <c r="M49" s="304">
        <v>37.032499999999999</v>
      </c>
      <c r="N49" s="304" t="s">
        <v>846</v>
      </c>
      <c r="O49" s="304">
        <v>37.031599999999997</v>
      </c>
      <c r="P49" s="286">
        <v>36.006</v>
      </c>
      <c r="Q49" s="286">
        <v>35.078000000000003</v>
      </c>
      <c r="R49" s="318">
        <v>45956</v>
      </c>
      <c r="S49" s="303">
        <f t="shared" si="14"/>
        <v>751</v>
      </c>
      <c r="T49" s="286">
        <f t="shared" si="16"/>
        <v>1.9544999999999959</v>
      </c>
      <c r="U49" s="286">
        <f t="shared" si="15"/>
        <v>1.9444999999999959</v>
      </c>
      <c r="V49" s="286">
        <f t="shared" si="4"/>
        <v>1.4107898869882862</v>
      </c>
      <c r="W49" s="286">
        <v>7.0000000000000007E-2</v>
      </c>
      <c r="X49" s="286">
        <f>W49*39.4</f>
        <v>2.758</v>
      </c>
      <c r="Y49" s="286">
        <f t="shared" si="17"/>
        <v>1.3404394141145139</v>
      </c>
      <c r="Z49" s="780"/>
      <c r="AA49" s="356" t="s">
        <v>953</v>
      </c>
      <c r="AB49" s="359" t="s">
        <v>984</v>
      </c>
      <c r="AC49" s="782"/>
    </row>
    <row r="50" spans="1:29" ht="48" customHeight="1" x14ac:dyDescent="0.25">
      <c r="A50" s="795">
        <v>20</v>
      </c>
      <c r="B50" s="789" t="s">
        <v>847</v>
      </c>
      <c r="C50" s="790" t="s">
        <v>848</v>
      </c>
      <c r="D50" s="792" t="s">
        <v>315</v>
      </c>
      <c r="E50" s="793" t="s">
        <v>89</v>
      </c>
      <c r="F50" s="280" t="s">
        <v>19</v>
      </c>
      <c r="G50" s="302">
        <v>5.2</v>
      </c>
      <c r="H50" s="303">
        <v>7.86</v>
      </c>
      <c r="I50" s="792" t="s">
        <v>842</v>
      </c>
      <c r="J50" s="794" t="s">
        <v>717</v>
      </c>
      <c r="K50" s="318">
        <v>45204</v>
      </c>
      <c r="L50" s="285" t="s">
        <v>849</v>
      </c>
      <c r="M50" s="286">
        <v>36.783799999999999</v>
      </c>
      <c r="N50" s="286" t="s">
        <v>850</v>
      </c>
      <c r="O50" s="286">
        <v>36.988599999999998</v>
      </c>
      <c r="P50" s="286">
        <v>37.305</v>
      </c>
      <c r="Q50" s="286">
        <v>36.593000000000004</v>
      </c>
      <c r="R50" s="318">
        <v>45966</v>
      </c>
      <c r="S50" s="303">
        <f t="shared" si="14"/>
        <v>762</v>
      </c>
      <c r="T50" s="286">
        <f t="shared" si="16"/>
        <v>0.19079999999999586</v>
      </c>
      <c r="U50" s="286">
        <f t="shared" si="15"/>
        <v>0.18079999999999585</v>
      </c>
      <c r="V50" s="286">
        <f t="shared" si="4"/>
        <v>0.12928191668348851</v>
      </c>
      <c r="W50" s="286">
        <v>0.01</v>
      </c>
      <c r="X50" s="286">
        <f>W50*39.4</f>
        <v>0.39400000000000002</v>
      </c>
      <c r="Y50" s="286">
        <f t="shared" si="17"/>
        <v>0.18872703412073491</v>
      </c>
      <c r="Z50" s="780" t="s">
        <v>709</v>
      </c>
      <c r="AA50" s="356" t="s">
        <v>954</v>
      </c>
      <c r="AB50" s="359" t="s">
        <v>965</v>
      </c>
      <c r="AC50" s="782" t="s">
        <v>0</v>
      </c>
    </row>
    <row r="51" spans="1:29" ht="48" customHeight="1" x14ac:dyDescent="0.25">
      <c r="A51" s="795"/>
      <c r="B51" s="789"/>
      <c r="C51" s="791"/>
      <c r="D51" s="792"/>
      <c r="E51" s="793"/>
      <c r="F51" s="280" t="s">
        <v>19</v>
      </c>
      <c r="G51" s="302">
        <v>5.2</v>
      </c>
      <c r="H51" s="303">
        <v>7.86</v>
      </c>
      <c r="I51" s="792"/>
      <c r="J51" s="794"/>
      <c r="K51" s="318">
        <v>45204</v>
      </c>
      <c r="L51" s="285" t="s">
        <v>851</v>
      </c>
      <c r="M51" s="286">
        <v>36.812199999999997</v>
      </c>
      <c r="N51" s="286" t="s">
        <v>852</v>
      </c>
      <c r="O51" s="286">
        <v>36.896700000000003</v>
      </c>
      <c r="P51" s="286">
        <v>36.93</v>
      </c>
      <c r="Q51" s="286">
        <v>36.584000000000003</v>
      </c>
      <c r="R51" s="318">
        <v>45966</v>
      </c>
      <c r="S51" s="303">
        <f t="shared" si="14"/>
        <v>762</v>
      </c>
      <c r="T51" s="286">
        <f t="shared" si="16"/>
        <v>0.22819999999999396</v>
      </c>
      <c r="U51" s="286">
        <f t="shared" si="15"/>
        <v>0.21819999999999395</v>
      </c>
      <c r="V51" s="286">
        <f t="shared" si="4"/>
        <v>0.15602496803283772</v>
      </c>
      <c r="W51" s="286">
        <v>0.01</v>
      </c>
      <c r="X51" s="286">
        <f>W51*39.4</f>
        <v>0.39400000000000002</v>
      </c>
      <c r="Y51" s="286">
        <f t="shared" si="17"/>
        <v>0.18872703412073491</v>
      </c>
      <c r="Z51" s="780"/>
      <c r="AA51" s="356" t="s">
        <v>953</v>
      </c>
      <c r="AB51" s="359" t="s">
        <v>966</v>
      </c>
      <c r="AC51" s="782"/>
    </row>
    <row r="52" spans="1:29" ht="48" customHeight="1" x14ac:dyDescent="0.25">
      <c r="A52" s="795">
        <v>21</v>
      </c>
      <c r="B52" s="789" t="s">
        <v>853</v>
      </c>
      <c r="C52" s="790" t="s">
        <v>854</v>
      </c>
      <c r="D52" s="792" t="s">
        <v>315</v>
      </c>
      <c r="E52" s="793" t="s">
        <v>89</v>
      </c>
      <c r="F52" s="280" t="s">
        <v>19</v>
      </c>
      <c r="G52" s="302">
        <v>5.2</v>
      </c>
      <c r="H52" s="303">
        <v>7.86</v>
      </c>
      <c r="I52" s="792" t="s">
        <v>855</v>
      </c>
      <c r="J52" s="794" t="s">
        <v>717</v>
      </c>
      <c r="K52" s="318">
        <v>45205</v>
      </c>
      <c r="L52" s="285" t="s">
        <v>856</v>
      </c>
      <c r="M52" s="286">
        <v>37.095300000000002</v>
      </c>
      <c r="N52" s="286" t="s">
        <v>857</v>
      </c>
      <c r="O52" s="286">
        <v>37.0229</v>
      </c>
      <c r="P52" s="286">
        <v>37.130000000000003</v>
      </c>
      <c r="Q52" s="286">
        <v>37.052</v>
      </c>
      <c r="R52" s="318">
        <v>45957</v>
      </c>
      <c r="S52" s="303">
        <f t="shared" si="14"/>
        <v>752</v>
      </c>
      <c r="T52" s="286">
        <f t="shared" si="16"/>
        <v>4.3300000000002115E-2</v>
      </c>
      <c r="U52" s="286">
        <f t="shared" si="15"/>
        <v>3.3300000000002113E-2</v>
      </c>
      <c r="V52" s="286">
        <f t="shared" si="4"/>
        <v>2.4127966448446701E-2</v>
      </c>
      <c r="W52" s="286"/>
      <c r="X52" s="343"/>
      <c r="Y52" s="343"/>
      <c r="Z52" s="780" t="s">
        <v>709</v>
      </c>
      <c r="AA52" s="356" t="s">
        <v>933</v>
      </c>
      <c r="AB52" s="356" t="s">
        <v>967</v>
      </c>
      <c r="AC52" s="782" t="s">
        <v>0</v>
      </c>
    </row>
    <row r="53" spans="1:29" ht="48" customHeight="1" x14ac:dyDescent="0.25">
      <c r="A53" s="795"/>
      <c r="B53" s="789"/>
      <c r="C53" s="791"/>
      <c r="D53" s="792"/>
      <c r="E53" s="793"/>
      <c r="F53" s="280" t="s">
        <v>19</v>
      </c>
      <c r="G53" s="302">
        <v>5.2</v>
      </c>
      <c r="H53" s="303">
        <v>7.86</v>
      </c>
      <c r="I53" s="792"/>
      <c r="J53" s="794"/>
      <c r="K53" s="318">
        <v>45205</v>
      </c>
      <c r="L53" s="285" t="s">
        <v>858</v>
      </c>
      <c r="M53" s="286">
        <v>37.136699999999998</v>
      </c>
      <c r="N53" s="286" t="s">
        <v>859</v>
      </c>
      <c r="O53" s="286">
        <v>37.015700000000002</v>
      </c>
      <c r="P53" s="286">
        <v>37.176000000000002</v>
      </c>
      <c r="Q53" s="286">
        <v>37.090000000000003</v>
      </c>
      <c r="R53" s="318">
        <v>45957</v>
      </c>
      <c r="S53" s="303">
        <f t="shared" si="14"/>
        <v>752</v>
      </c>
      <c r="T53" s="286">
        <f t="shared" si="16"/>
        <v>4.6699999999994191E-2</v>
      </c>
      <c r="U53" s="286">
        <f t="shared" si="15"/>
        <v>3.6699999999994189E-2</v>
      </c>
      <c r="V53" s="286">
        <f t="shared" si="4"/>
        <v>2.6591482542276203E-2</v>
      </c>
      <c r="W53" s="286"/>
      <c r="X53" s="343"/>
      <c r="Y53" s="343"/>
      <c r="Z53" s="780"/>
      <c r="AA53" s="356" t="s">
        <v>933</v>
      </c>
      <c r="AB53" s="356" t="s">
        <v>967</v>
      </c>
      <c r="AC53" s="782"/>
    </row>
    <row r="54" spans="1:29" ht="48" customHeight="1" x14ac:dyDescent="0.25">
      <c r="A54" s="795">
        <v>22</v>
      </c>
      <c r="B54" s="789" t="s">
        <v>860</v>
      </c>
      <c r="C54" s="790" t="s">
        <v>861</v>
      </c>
      <c r="D54" s="792" t="s">
        <v>315</v>
      </c>
      <c r="E54" s="793" t="s">
        <v>89</v>
      </c>
      <c r="F54" s="280" t="s">
        <v>19</v>
      </c>
      <c r="G54" s="302">
        <v>5.2</v>
      </c>
      <c r="H54" s="303">
        <v>7.86</v>
      </c>
      <c r="I54" s="792" t="s">
        <v>862</v>
      </c>
      <c r="J54" s="794" t="s">
        <v>717</v>
      </c>
      <c r="K54" s="318">
        <v>45204</v>
      </c>
      <c r="L54" s="285" t="s">
        <v>863</v>
      </c>
      <c r="M54" s="286">
        <v>36.928800000000003</v>
      </c>
      <c r="N54" s="286" t="s">
        <v>864</v>
      </c>
      <c r="O54" s="286">
        <v>36.940399999999997</v>
      </c>
      <c r="P54" s="286">
        <v>36.951999999999998</v>
      </c>
      <c r="Q54" s="286">
        <v>36.871000000000002</v>
      </c>
      <c r="R54" s="318">
        <v>45957</v>
      </c>
      <c r="S54" s="303">
        <f t="shared" si="14"/>
        <v>753</v>
      </c>
      <c r="T54" s="286">
        <f t="shared" si="16"/>
        <v>5.7800000000000296E-2</v>
      </c>
      <c r="U54" s="286">
        <f t="shared" si="15"/>
        <v>4.7800000000000294E-2</v>
      </c>
      <c r="V54" s="286">
        <f t="shared" si="4"/>
        <v>3.458814315388041E-2</v>
      </c>
      <c r="W54" s="286"/>
      <c r="X54" s="343"/>
      <c r="Y54" s="343"/>
      <c r="Z54" s="780" t="s">
        <v>709</v>
      </c>
      <c r="AA54" s="356" t="s">
        <v>933</v>
      </c>
      <c r="AB54" s="356" t="s">
        <v>968</v>
      </c>
      <c r="AC54" s="782" t="s">
        <v>0</v>
      </c>
    </row>
    <row r="55" spans="1:29" ht="48" customHeight="1" x14ac:dyDescent="0.25">
      <c r="A55" s="795"/>
      <c r="B55" s="789"/>
      <c r="C55" s="791"/>
      <c r="D55" s="792"/>
      <c r="E55" s="793"/>
      <c r="F55" s="280" t="s">
        <v>19</v>
      </c>
      <c r="G55" s="302">
        <v>5.2</v>
      </c>
      <c r="H55" s="303">
        <v>7.86</v>
      </c>
      <c r="I55" s="792"/>
      <c r="J55" s="794"/>
      <c r="K55" s="318">
        <v>45204</v>
      </c>
      <c r="L55" s="285" t="s">
        <v>865</v>
      </c>
      <c r="M55" s="286">
        <v>37.026400000000002</v>
      </c>
      <c r="N55" s="286" t="s">
        <v>866</v>
      </c>
      <c r="O55" s="286">
        <v>37.0334</v>
      </c>
      <c r="P55" s="286">
        <v>37.069000000000003</v>
      </c>
      <c r="Q55" s="286">
        <v>36.96</v>
      </c>
      <c r="R55" s="318">
        <v>45957</v>
      </c>
      <c r="S55" s="303">
        <f t="shared" si="14"/>
        <v>753</v>
      </c>
      <c r="T55" s="286">
        <f t="shared" si="16"/>
        <v>6.6400000000001569E-2</v>
      </c>
      <c r="U55" s="286">
        <f t="shared" si="15"/>
        <v>5.6400000000001567E-2</v>
      </c>
      <c r="V55" s="286">
        <f t="shared" si="4"/>
        <v>4.0811114516294926E-2</v>
      </c>
      <c r="W55" s="286"/>
      <c r="X55" s="343"/>
      <c r="Y55" s="343"/>
      <c r="Z55" s="780"/>
      <c r="AA55" s="356" t="s">
        <v>933</v>
      </c>
      <c r="AB55" s="356" t="s">
        <v>968</v>
      </c>
      <c r="AC55" s="782"/>
    </row>
    <row r="56" spans="1:29" ht="48" customHeight="1" x14ac:dyDescent="0.25">
      <c r="A56" s="787">
        <v>23</v>
      </c>
      <c r="B56" s="789" t="s">
        <v>867</v>
      </c>
      <c r="C56" s="790" t="s">
        <v>868</v>
      </c>
      <c r="D56" s="792" t="s">
        <v>315</v>
      </c>
      <c r="E56" s="793" t="s">
        <v>89</v>
      </c>
      <c r="F56" s="280" t="s">
        <v>19</v>
      </c>
      <c r="G56" s="305">
        <v>5.2</v>
      </c>
      <c r="H56" s="303">
        <v>7.86</v>
      </c>
      <c r="I56" s="794" t="s">
        <v>869</v>
      </c>
      <c r="J56" s="794" t="s">
        <v>717</v>
      </c>
      <c r="K56" s="318">
        <v>45204</v>
      </c>
      <c r="L56" s="285" t="s">
        <v>870</v>
      </c>
      <c r="M56" s="286">
        <v>36.7971</v>
      </c>
      <c r="N56" s="286" t="s">
        <v>871</v>
      </c>
      <c r="O56" s="286">
        <v>36.939300000000003</v>
      </c>
      <c r="P56" s="286">
        <v>36.692999999999998</v>
      </c>
      <c r="Q56" s="286">
        <v>36.655000000000001</v>
      </c>
      <c r="R56" s="318">
        <v>45958</v>
      </c>
      <c r="S56" s="303">
        <f t="shared" si="14"/>
        <v>754</v>
      </c>
      <c r="T56" s="286">
        <f t="shared" si="16"/>
        <v>0.14209999999999923</v>
      </c>
      <c r="U56" s="286">
        <f t="shared" si="15"/>
        <v>0.13209999999999922</v>
      </c>
      <c r="V56" s="286">
        <f t="shared" si="4"/>
        <v>9.5460960348227666E-2</v>
      </c>
      <c r="W56" s="286">
        <v>0.01</v>
      </c>
      <c r="X56" s="286">
        <f>W56*39.4</f>
        <v>0.39400000000000002</v>
      </c>
      <c r="Y56" s="286">
        <f t="shared" ref="Y56:Y57" si="18">(X56*365)/S56</f>
        <v>0.19072944297082228</v>
      </c>
      <c r="Z56" s="780" t="s">
        <v>709</v>
      </c>
      <c r="AA56" s="356" t="s">
        <v>940</v>
      </c>
      <c r="AB56" s="360" t="s">
        <v>969</v>
      </c>
      <c r="AC56" s="781" t="s">
        <v>0</v>
      </c>
    </row>
    <row r="57" spans="1:29" ht="48" customHeight="1" x14ac:dyDescent="0.25">
      <c r="A57" s="788"/>
      <c r="B57" s="789"/>
      <c r="C57" s="791"/>
      <c r="D57" s="792"/>
      <c r="E57" s="793"/>
      <c r="F57" s="290" t="s">
        <v>19</v>
      </c>
      <c r="G57" s="302">
        <v>5.2</v>
      </c>
      <c r="H57" s="306">
        <v>7.86</v>
      </c>
      <c r="I57" s="794"/>
      <c r="J57" s="794"/>
      <c r="K57" s="318">
        <v>45204</v>
      </c>
      <c r="L57" s="285" t="s">
        <v>872</v>
      </c>
      <c r="M57" s="286">
        <v>37.088200000000001</v>
      </c>
      <c r="N57" s="286" t="s">
        <v>873</v>
      </c>
      <c r="O57" s="286">
        <v>36.965200000000003</v>
      </c>
      <c r="P57" s="286">
        <v>36.99</v>
      </c>
      <c r="Q57" s="286">
        <v>36.954000000000001</v>
      </c>
      <c r="R57" s="318">
        <v>45958</v>
      </c>
      <c r="S57" s="303">
        <f t="shared" si="14"/>
        <v>754</v>
      </c>
      <c r="T57" s="286">
        <f t="shared" si="16"/>
        <v>0.13419999999999987</v>
      </c>
      <c r="U57" s="286">
        <f t="shared" si="15"/>
        <v>0.12419999999999988</v>
      </c>
      <c r="V57" s="286">
        <f t="shared" si="4"/>
        <v>8.9752091409916246E-2</v>
      </c>
      <c r="W57" s="286">
        <v>0.01</v>
      </c>
      <c r="X57" s="286">
        <f>W57*39.4</f>
        <v>0.39400000000000002</v>
      </c>
      <c r="Y57" s="286">
        <f t="shared" si="18"/>
        <v>0.19072944297082228</v>
      </c>
      <c r="Z57" s="780"/>
      <c r="AA57" s="356" t="s">
        <v>940</v>
      </c>
      <c r="AB57" s="360" t="s">
        <v>969</v>
      </c>
      <c r="AC57" s="782"/>
    </row>
    <row r="58" spans="1:29" ht="48" customHeight="1" x14ac:dyDescent="0.25">
      <c r="A58" s="787">
        <v>24</v>
      </c>
      <c r="B58" s="789" t="s">
        <v>874</v>
      </c>
      <c r="C58" s="790" t="s">
        <v>875</v>
      </c>
      <c r="D58" s="792" t="s">
        <v>315</v>
      </c>
      <c r="E58" s="793" t="s">
        <v>89</v>
      </c>
      <c r="F58" s="280" t="s">
        <v>19</v>
      </c>
      <c r="G58" s="305">
        <v>5.2</v>
      </c>
      <c r="H58" s="303">
        <v>7.86</v>
      </c>
      <c r="I58" s="794" t="s">
        <v>862</v>
      </c>
      <c r="J58" s="794" t="s">
        <v>717</v>
      </c>
      <c r="K58" s="318">
        <v>45204</v>
      </c>
      <c r="L58" s="285" t="s">
        <v>929</v>
      </c>
      <c r="M58" s="286">
        <v>37.164900000000003</v>
      </c>
      <c r="N58" s="286" t="s">
        <v>816</v>
      </c>
      <c r="O58" s="286">
        <v>36.9908</v>
      </c>
      <c r="P58" s="286">
        <v>37.201999999999998</v>
      </c>
      <c r="Q58" s="286">
        <v>37.122</v>
      </c>
      <c r="R58" s="318">
        <v>45958</v>
      </c>
      <c r="S58" s="303">
        <f t="shared" si="14"/>
        <v>754</v>
      </c>
      <c r="T58" s="286">
        <f t="shared" si="16"/>
        <v>4.2900000000003047E-2</v>
      </c>
      <c r="U58" s="286">
        <f t="shared" si="15"/>
        <v>3.2900000000003045E-2</v>
      </c>
      <c r="V58" s="286">
        <f t="shared" si="4"/>
        <v>2.3774909882339136E-2</v>
      </c>
      <c r="W58" s="286"/>
      <c r="X58" s="343"/>
      <c r="Y58" s="343"/>
      <c r="Z58" s="780" t="s">
        <v>709</v>
      </c>
      <c r="AA58" s="356" t="s">
        <v>940</v>
      </c>
      <c r="AB58" s="357" t="s">
        <v>970</v>
      </c>
      <c r="AC58" s="781" t="s">
        <v>0</v>
      </c>
    </row>
    <row r="59" spans="1:29" ht="48" customHeight="1" thickBot="1" x14ac:dyDescent="0.3">
      <c r="A59" s="788"/>
      <c r="B59" s="789"/>
      <c r="C59" s="791"/>
      <c r="D59" s="792"/>
      <c r="E59" s="793"/>
      <c r="F59" s="290" t="s">
        <v>19</v>
      </c>
      <c r="G59" s="302">
        <v>5.2</v>
      </c>
      <c r="H59" s="306">
        <v>7.86</v>
      </c>
      <c r="I59" s="794"/>
      <c r="J59" s="794"/>
      <c r="K59" s="318">
        <v>45204</v>
      </c>
      <c r="L59" s="285" t="s">
        <v>930</v>
      </c>
      <c r="M59" s="286">
        <v>37.0242</v>
      </c>
      <c r="N59" s="286" t="s">
        <v>818</v>
      </c>
      <c r="O59" s="286">
        <v>37.942799999999998</v>
      </c>
      <c r="P59" s="286">
        <v>37.046999999999997</v>
      </c>
      <c r="Q59" s="286">
        <v>36.988999999999997</v>
      </c>
      <c r="R59" s="318">
        <v>45958</v>
      </c>
      <c r="S59" s="303">
        <f t="shared" si="14"/>
        <v>754</v>
      </c>
      <c r="T59" s="286">
        <f t="shared" si="16"/>
        <v>3.5200000000003229E-2</v>
      </c>
      <c r="U59" s="286">
        <f t="shared" si="15"/>
        <v>2.5200000000003227E-2</v>
      </c>
      <c r="V59" s="286">
        <f t="shared" si="4"/>
        <v>1.821056927157956E-2</v>
      </c>
      <c r="W59" s="286"/>
      <c r="X59" s="343"/>
      <c r="Y59" s="343"/>
      <c r="Z59" s="780"/>
      <c r="AA59" s="356" t="s">
        <v>940</v>
      </c>
      <c r="AB59" s="356" t="s">
        <v>971</v>
      </c>
      <c r="AC59" s="782"/>
    </row>
    <row r="60" spans="1:29" ht="48" customHeight="1" thickBot="1" x14ac:dyDescent="0.3">
      <c r="A60" s="336" t="s">
        <v>876</v>
      </c>
      <c r="B60" s="313"/>
      <c r="C60" s="313"/>
      <c r="D60" s="313"/>
      <c r="E60" s="313"/>
      <c r="F60" s="313"/>
      <c r="G60" s="313"/>
      <c r="H60" s="313"/>
      <c r="I60" s="313"/>
      <c r="J60" s="313"/>
      <c r="K60" s="319"/>
      <c r="L60" s="313"/>
      <c r="M60" s="313"/>
      <c r="N60" s="313"/>
      <c r="O60" s="313"/>
      <c r="P60" s="313"/>
      <c r="Q60" s="299"/>
      <c r="R60" s="319"/>
      <c r="S60" s="325"/>
      <c r="T60" s="351"/>
      <c r="U60" s="351"/>
      <c r="V60" s="313"/>
      <c r="W60" s="313"/>
      <c r="X60" s="313"/>
      <c r="Y60" s="313"/>
      <c r="Z60" s="313"/>
      <c r="AA60" s="313"/>
      <c r="AB60" s="313"/>
      <c r="AC60" s="338"/>
    </row>
    <row r="61" spans="1:29" ht="48" customHeight="1" x14ac:dyDescent="0.25">
      <c r="A61" s="795">
        <v>25</v>
      </c>
      <c r="B61" s="796" t="s">
        <v>877</v>
      </c>
      <c r="C61" s="792" t="s">
        <v>878</v>
      </c>
      <c r="D61" s="804" t="s">
        <v>704</v>
      </c>
      <c r="E61" s="793" t="s">
        <v>89</v>
      </c>
      <c r="F61" s="280" t="s">
        <v>19</v>
      </c>
      <c r="G61" s="305">
        <v>5.2</v>
      </c>
      <c r="H61" s="303">
        <v>7.86</v>
      </c>
      <c r="I61" s="792" t="s">
        <v>862</v>
      </c>
      <c r="J61" s="794" t="s">
        <v>717</v>
      </c>
      <c r="K61" s="318">
        <v>45206</v>
      </c>
      <c r="L61" s="285" t="s">
        <v>879</v>
      </c>
      <c r="M61" s="286">
        <v>37.081099999999999</v>
      </c>
      <c r="N61" s="286" t="s">
        <v>880</v>
      </c>
      <c r="O61" s="286">
        <v>37.030999999999999</v>
      </c>
      <c r="P61" s="286">
        <v>37.095999999999997</v>
      </c>
      <c r="Q61" s="286">
        <v>37.045999999999999</v>
      </c>
      <c r="R61" s="318">
        <v>45955</v>
      </c>
      <c r="S61" s="303">
        <f t="shared" ref="S61:S66" si="19">R61-K61</f>
        <v>749</v>
      </c>
      <c r="T61" s="286">
        <f t="shared" ref="T61:T66" si="20">M61-Q61</f>
        <v>3.5099999999999909E-2</v>
      </c>
      <c r="U61" s="286">
        <f t="shared" ref="U61:U66" si="21">T61-0.01</f>
        <v>2.5099999999999907E-2</v>
      </c>
      <c r="V61" s="286">
        <f t="shared" ref="V61:V66" si="22">(U61*22270)/(S61*H61*G61)</f>
        <v>1.8259388586491319E-2</v>
      </c>
      <c r="W61" s="286"/>
      <c r="X61" s="343"/>
      <c r="Y61" s="343"/>
      <c r="Z61" s="780" t="s">
        <v>709</v>
      </c>
      <c r="AA61" s="357" t="s">
        <v>934</v>
      </c>
      <c r="AB61" s="357" t="s">
        <v>970</v>
      </c>
      <c r="AC61" s="799" t="s">
        <v>0</v>
      </c>
    </row>
    <row r="62" spans="1:29" ht="48" customHeight="1" x14ac:dyDescent="0.25">
      <c r="A62" s="795"/>
      <c r="B62" s="796"/>
      <c r="C62" s="792"/>
      <c r="D62" s="804"/>
      <c r="E62" s="793"/>
      <c r="F62" s="290" t="s">
        <v>19</v>
      </c>
      <c r="G62" s="302">
        <v>5.2</v>
      </c>
      <c r="H62" s="306">
        <v>7.86</v>
      </c>
      <c r="I62" s="792"/>
      <c r="J62" s="794"/>
      <c r="K62" s="318">
        <v>45206</v>
      </c>
      <c r="L62" s="285" t="s">
        <v>881</v>
      </c>
      <c r="M62" s="286">
        <v>36.902700000000003</v>
      </c>
      <c r="N62" s="286" t="s">
        <v>882</v>
      </c>
      <c r="O62" s="286">
        <v>37.015700000000002</v>
      </c>
      <c r="P62" s="286">
        <v>36.923999999999999</v>
      </c>
      <c r="Q62" s="286">
        <v>36.872999999999998</v>
      </c>
      <c r="R62" s="318">
        <v>45955</v>
      </c>
      <c r="S62" s="303">
        <f t="shared" si="19"/>
        <v>749</v>
      </c>
      <c r="T62" s="286">
        <f t="shared" si="20"/>
        <v>2.9700000000005389E-2</v>
      </c>
      <c r="U62" s="286">
        <f t="shared" si="21"/>
        <v>1.9700000000005387E-2</v>
      </c>
      <c r="V62" s="286">
        <f t="shared" si="22"/>
        <v>1.433107391051708E-2</v>
      </c>
      <c r="W62" s="286"/>
      <c r="X62" s="343"/>
      <c r="Y62" s="343"/>
      <c r="Z62" s="780"/>
      <c r="AA62" s="357" t="s">
        <v>934</v>
      </c>
      <c r="AB62" s="357" t="s">
        <v>970</v>
      </c>
      <c r="AC62" s="782"/>
    </row>
    <row r="63" spans="1:29" ht="48" customHeight="1" x14ac:dyDescent="0.25">
      <c r="A63" s="787">
        <v>26</v>
      </c>
      <c r="B63" s="800" t="s">
        <v>883</v>
      </c>
      <c r="C63" s="802" t="s">
        <v>884</v>
      </c>
      <c r="D63" s="797" t="s">
        <v>315</v>
      </c>
      <c r="E63" s="793" t="s">
        <v>89</v>
      </c>
      <c r="F63" s="280" t="s">
        <v>19</v>
      </c>
      <c r="G63" s="305">
        <v>5.2</v>
      </c>
      <c r="H63" s="303">
        <v>7.86</v>
      </c>
      <c r="I63" s="792" t="s">
        <v>869</v>
      </c>
      <c r="J63" s="794" t="s">
        <v>717</v>
      </c>
      <c r="K63" s="318">
        <v>45206</v>
      </c>
      <c r="L63" s="285" t="s">
        <v>885</v>
      </c>
      <c r="M63" s="286">
        <v>37.052300000000002</v>
      </c>
      <c r="N63" s="286" t="s">
        <v>886</v>
      </c>
      <c r="O63" s="286">
        <v>36.737200000000001</v>
      </c>
      <c r="P63" s="286">
        <v>37.058</v>
      </c>
      <c r="Q63" s="286">
        <v>36.99</v>
      </c>
      <c r="R63" s="318">
        <v>45955</v>
      </c>
      <c r="S63" s="303">
        <f t="shared" si="19"/>
        <v>749</v>
      </c>
      <c r="T63" s="286">
        <f t="shared" si="20"/>
        <v>6.2300000000000466E-2</v>
      </c>
      <c r="U63" s="286">
        <f t="shared" si="21"/>
        <v>5.2300000000000464E-2</v>
      </c>
      <c r="V63" s="286">
        <f t="shared" si="22"/>
        <v>3.8046455102530199E-2</v>
      </c>
      <c r="W63" s="286"/>
      <c r="X63" s="343"/>
      <c r="Y63" s="343"/>
      <c r="Z63" s="780" t="s">
        <v>709</v>
      </c>
      <c r="AA63" s="357" t="s">
        <v>935</v>
      </c>
      <c r="AB63" s="357" t="s">
        <v>971</v>
      </c>
      <c r="AC63" s="781" t="s">
        <v>0</v>
      </c>
    </row>
    <row r="64" spans="1:29" ht="48" customHeight="1" x14ac:dyDescent="0.25">
      <c r="A64" s="788"/>
      <c r="B64" s="801"/>
      <c r="C64" s="803"/>
      <c r="D64" s="798"/>
      <c r="E64" s="793"/>
      <c r="F64" s="280" t="s">
        <v>19</v>
      </c>
      <c r="G64" s="305">
        <v>5.2</v>
      </c>
      <c r="H64" s="303">
        <v>7.86</v>
      </c>
      <c r="I64" s="792"/>
      <c r="J64" s="794"/>
      <c r="K64" s="318">
        <v>45206</v>
      </c>
      <c r="L64" s="285" t="s">
        <v>887</v>
      </c>
      <c r="M64" s="286">
        <v>36.856699999999996</v>
      </c>
      <c r="N64" s="286" t="s">
        <v>888</v>
      </c>
      <c r="O64" s="286">
        <v>37.8611</v>
      </c>
      <c r="P64" s="286">
        <v>36.863</v>
      </c>
      <c r="Q64" s="286">
        <v>36.779000000000003</v>
      </c>
      <c r="R64" s="318">
        <v>45955</v>
      </c>
      <c r="S64" s="303">
        <f t="shared" si="19"/>
        <v>749</v>
      </c>
      <c r="T64" s="286">
        <f t="shared" si="20"/>
        <v>7.7699999999992997E-2</v>
      </c>
      <c r="U64" s="286">
        <f t="shared" si="21"/>
        <v>6.7699999999993002E-2</v>
      </c>
      <c r="V64" s="286">
        <f t="shared" si="22"/>
        <v>4.9249426585870087E-2</v>
      </c>
      <c r="W64" s="286"/>
      <c r="X64" s="343"/>
      <c r="Y64" s="343"/>
      <c r="Z64" s="780"/>
      <c r="AA64" s="357" t="s">
        <v>935</v>
      </c>
      <c r="AB64" s="357" t="s">
        <v>971</v>
      </c>
      <c r="AC64" s="782"/>
    </row>
    <row r="65" spans="1:29" ht="48" customHeight="1" x14ac:dyDescent="0.25">
      <c r="A65" s="795">
        <v>27</v>
      </c>
      <c r="B65" s="796" t="s">
        <v>889</v>
      </c>
      <c r="C65" s="792" t="s">
        <v>890</v>
      </c>
      <c r="D65" s="797" t="s">
        <v>315</v>
      </c>
      <c r="E65" s="793" t="s">
        <v>89</v>
      </c>
      <c r="F65" s="280" t="s">
        <v>19</v>
      </c>
      <c r="G65" s="302">
        <v>5.2</v>
      </c>
      <c r="H65" s="303">
        <v>7.86</v>
      </c>
      <c r="I65" s="792" t="s">
        <v>706</v>
      </c>
      <c r="J65" s="794" t="s">
        <v>717</v>
      </c>
      <c r="K65" s="318">
        <v>45206</v>
      </c>
      <c r="L65" s="285" t="s">
        <v>891</v>
      </c>
      <c r="M65" s="286">
        <v>37.1569</v>
      </c>
      <c r="N65" s="286" t="s">
        <v>892</v>
      </c>
      <c r="O65" s="286">
        <v>37.022199999999998</v>
      </c>
      <c r="P65" s="286">
        <v>37.192</v>
      </c>
      <c r="Q65" s="286">
        <v>37.131</v>
      </c>
      <c r="R65" s="318">
        <v>45955</v>
      </c>
      <c r="S65" s="303">
        <f t="shared" si="19"/>
        <v>749</v>
      </c>
      <c r="T65" s="286">
        <f t="shared" si="20"/>
        <v>2.5900000000000034E-2</v>
      </c>
      <c r="U65" s="286">
        <f t="shared" si="21"/>
        <v>1.5900000000000032E-2</v>
      </c>
      <c r="V65" s="286">
        <f t="shared" si="22"/>
        <v>1.156670432371369E-2</v>
      </c>
      <c r="W65" s="286"/>
      <c r="X65" s="343"/>
      <c r="Y65" s="343"/>
      <c r="Z65" s="780" t="s">
        <v>709</v>
      </c>
      <c r="AA65" s="357" t="s">
        <v>936</v>
      </c>
      <c r="AB65" s="357" t="s">
        <v>971</v>
      </c>
      <c r="AC65" s="781" t="s">
        <v>0</v>
      </c>
    </row>
    <row r="66" spans="1:29" ht="48" customHeight="1" thickBot="1" x14ac:dyDescent="0.3">
      <c r="A66" s="795"/>
      <c r="B66" s="796"/>
      <c r="C66" s="792"/>
      <c r="D66" s="798"/>
      <c r="E66" s="793"/>
      <c r="F66" s="280" t="s">
        <v>19</v>
      </c>
      <c r="G66" s="302">
        <v>5.2</v>
      </c>
      <c r="H66" s="303">
        <v>7.86</v>
      </c>
      <c r="I66" s="792"/>
      <c r="J66" s="794"/>
      <c r="K66" s="318">
        <v>45206</v>
      </c>
      <c r="L66" s="285" t="s">
        <v>893</v>
      </c>
      <c r="M66" s="286">
        <v>37.002499999999998</v>
      </c>
      <c r="N66" s="286" t="s">
        <v>894</v>
      </c>
      <c r="O66" s="286">
        <v>36.922699999999999</v>
      </c>
      <c r="P66" s="286">
        <v>36.962000000000003</v>
      </c>
      <c r="Q66" s="286">
        <v>36.877000000000002</v>
      </c>
      <c r="R66" s="318">
        <v>45955</v>
      </c>
      <c r="S66" s="303">
        <f t="shared" si="19"/>
        <v>749</v>
      </c>
      <c r="T66" s="286">
        <f t="shared" si="20"/>
        <v>0.12549999999999528</v>
      </c>
      <c r="U66" s="286">
        <f t="shared" si="21"/>
        <v>0.11549999999999529</v>
      </c>
      <c r="V66" s="286">
        <f t="shared" si="22"/>
        <v>8.4022286125086415E-2</v>
      </c>
      <c r="W66" s="286"/>
      <c r="X66" s="286"/>
      <c r="Y66" s="286"/>
      <c r="Z66" s="780"/>
      <c r="AA66" s="357" t="s">
        <v>972</v>
      </c>
      <c r="AB66" s="359" t="s">
        <v>973</v>
      </c>
      <c r="AC66" s="782"/>
    </row>
    <row r="67" spans="1:29" ht="48" customHeight="1" thickBot="1" x14ac:dyDescent="0.3">
      <c r="A67" s="336" t="s">
        <v>895</v>
      </c>
      <c r="B67" s="313"/>
      <c r="C67" s="313"/>
      <c r="D67" s="313"/>
      <c r="E67" s="313"/>
      <c r="F67" s="313"/>
      <c r="G67" s="313"/>
      <c r="H67" s="313"/>
      <c r="I67" s="313"/>
      <c r="J67" s="313"/>
      <c r="K67" s="319"/>
      <c r="L67" s="313"/>
      <c r="M67" s="313"/>
      <c r="N67" s="313"/>
      <c r="O67" s="313"/>
      <c r="P67" s="313"/>
      <c r="Q67" s="299"/>
      <c r="R67" s="319"/>
      <c r="S67" s="325"/>
      <c r="T67" s="351"/>
      <c r="U67" s="351"/>
      <c r="V67" s="313"/>
      <c r="W67" s="313"/>
      <c r="X67" s="313"/>
      <c r="Y67" s="313"/>
      <c r="Z67" s="313"/>
      <c r="AA67" s="313"/>
      <c r="AB67" s="313"/>
      <c r="AC67" s="338"/>
    </row>
    <row r="68" spans="1:29" ht="48" customHeight="1" thickBot="1" x14ac:dyDescent="0.3">
      <c r="A68" s="329">
        <v>28</v>
      </c>
      <c r="B68" s="330" t="s">
        <v>896</v>
      </c>
      <c r="C68" s="346" t="s">
        <v>897</v>
      </c>
      <c r="D68" s="331" t="s">
        <v>310</v>
      </c>
      <c r="E68" s="307" t="s">
        <v>745</v>
      </c>
      <c r="F68" s="308" t="s">
        <v>19</v>
      </c>
      <c r="G68" s="309">
        <v>2.5</v>
      </c>
      <c r="H68" s="310">
        <v>7.86</v>
      </c>
      <c r="I68" s="308" t="s">
        <v>898</v>
      </c>
      <c r="J68" s="311" t="s">
        <v>271</v>
      </c>
      <c r="K68" s="314">
        <v>45210</v>
      </c>
      <c r="L68" s="312" t="s">
        <v>899</v>
      </c>
      <c r="M68" s="298">
        <v>17.530899999999999</v>
      </c>
      <c r="N68" s="298" t="s">
        <v>900</v>
      </c>
      <c r="O68" s="298">
        <v>17.386700000000001</v>
      </c>
      <c r="P68" s="298"/>
      <c r="Q68" s="276"/>
      <c r="R68" s="318">
        <v>45955</v>
      </c>
      <c r="S68" s="321">
        <f>R68-K68</f>
        <v>745</v>
      </c>
      <c r="T68" s="298"/>
      <c r="U68" s="298"/>
      <c r="V68" s="298"/>
      <c r="W68" s="298"/>
      <c r="X68" s="298"/>
      <c r="Y68" s="298"/>
      <c r="Z68" s="344" t="s">
        <v>749</v>
      </c>
      <c r="AA68" s="362" t="s">
        <v>123</v>
      </c>
      <c r="AB68" s="362" t="s">
        <v>123</v>
      </c>
      <c r="AC68" s="345" t="s">
        <v>0</v>
      </c>
    </row>
    <row r="69" spans="1:29" ht="48" customHeight="1" thickBot="1" x14ac:dyDescent="0.3">
      <c r="A69" s="336" t="s">
        <v>742</v>
      </c>
      <c r="B69" s="313"/>
      <c r="C69" s="313"/>
      <c r="D69" s="313"/>
      <c r="E69" s="313"/>
      <c r="F69" s="313"/>
      <c r="G69" s="313"/>
      <c r="H69" s="313"/>
      <c r="I69" s="313"/>
      <c r="J69" s="313"/>
      <c r="K69" s="319"/>
      <c r="L69" s="313"/>
      <c r="M69" s="313"/>
      <c r="N69" s="313"/>
      <c r="O69" s="313"/>
      <c r="P69" s="313"/>
      <c r="Q69" s="299"/>
      <c r="R69" s="319"/>
      <c r="S69" s="325"/>
      <c r="T69" s="351"/>
      <c r="U69" s="351"/>
      <c r="V69" s="313"/>
      <c r="W69" s="313"/>
      <c r="X69" s="313"/>
      <c r="Y69" s="313"/>
      <c r="Z69" s="313"/>
      <c r="AA69" s="313"/>
      <c r="AB69" s="313"/>
      <c r="AC69" s="338"/>
    </row>
    <row r="70" spans="1:29" ht="58.2" customHeight="1" x14ac:dyDescent="0.25">
      <c r="A70" s="787">
        <v>29</v>
      </c>
      <c r="B70" s="789" t="s">
        <v>901</v>
      </c>
      <c r="C70" s="790" t="s">
        <v>902</v>
      </c>
      <c r="D70" s="792" t="s">
        <v>315</v>
      </c>
      <c r="E70" s="793" t="s">
        <v>89</v>
      </c>
      <c r="F70" s="280" t="s">
        <v>19</v>
      </c>
      <c r="G70" s="305">
        <v>5.2</v>
      </c>
      <c r="H70" s="303">
        <v>7.86</v>
      </c>
      <c r="I70" s="794" t="s">
        <v>724</v>
      </c>
      <c r="J70" s="794" t="s">
        <v>717</v>
      </c>
      <c r="K70" s="318">
        <v>45223</v>
      </c>
      <c r="L70" s="285" t="s">
        <v>903</v>
      </c>
      <c r="M70" s="286" t="s">
        <v>117</v>
      </c>
      <c r="N70" s="286" t="s">
        <v>904</v>
      </c>
      <c r="O70" s="286">
        <v>36.969099999999997</v>
      </c>
      <c r="P70" s="286">
        <v>37.164999999999999</v>
      </c>
      <c r="Q70" s="286">
        <v>35.654000000000003</v>
      </c>
      <c r="R70" s="318">
        <v>45954</v>
      </c>
      <c r="S70" s="303">
        <f>R70-K70</f>
        <v>731</v>
      </c>
      <c r="T70" s="286" t="e">
        <f t="shared" ref="T70:T71" si="23">M70-Q70</f>
        <v>#VALUE!</v>
      </c>
      <c r="U70" s="286" t="e">
        <f t="shared" ref="U70:U71" si="24">T70-0.01</f>
        <v>#VALUE!</v>
      </c>
      <c r="V70" s="286" t="e">
        <f t="shared" ref="V70:V71" si="25">(U70*22270)/(S70*H70*G70)</f>
        <v>#VALUE!</v>
      </c>
      <c r="W70" s="286">
        <v>0.01</v>
      </c>
      <c r="X70" s="286">
        <f>W70*39.4</f>
        <v>0.39400000000000002</v>
      </c>
      <c r="Y70" s="286">
        <f t="shared" ref="Y70:Y71" si="26">(X70*365)/S70</f>
        <v>0.19673050615595075</v>
      </c>
      <c r="Z70" s="780" t="s">
        <v>749</v>
      </c>
      <c r="AA70" s="357" t="s">
        <v>938</v>
      </c>
      <c r="AB70" s="360" t="s">
        <v>974</v>
      </c>
      <c r="AC70" s="781" t="s">
        <v>905</v>
      </c>
    </row>
    <row r="71" spans="1:29" ht="62.4" customHeight="1" thickBot="1" x14ac:dyDescent="0.3">
      <c r="A71" s="788"/>
      <c r="B71" s="789"/>
      <c r="C71" s="791"/>
      <c r="D71" s="792"/>
      <c r="E71" s="793"/>
      <c r="F71" s="290" t="s">
        <v>19</v>
      </c>
      <c r="G71" s="302">
        <v>5.2</v>
      </c>
      <c r="H71" s="306">
        <v>7.86</v>
      </c>
      <c r="I71" s="794"/>
      <c r="J71" s="794"/>
      <c r="K71" s="318">
        <v>45223</v>
      </c>
      <c r="L71" s="285" t="s">
        <v>906</v>
      </c>
      <c r="M71" s="286" t="s">
        <v>117</v>
      </c>
      <c r="N71" s="286" t="s">
        <v>907</v>
      </c>
      <c r="O71" s="286">
        <v>36.9542</v>
      </c>
      <c r="P71" s="286">
        <v>37.337000000000003</v>
      </c>
      <c r="Q71" s="286">
        <v>35.840000000000003</v>
      </c>
      <c r="R71" s="318">
        <v>45954</v>
      </c>
      <c r="S71" s="303">
        <f>R71-K71</f>
        <v>731</v>
      </c>
      <c r="T71" s="286" t="e">
        <f t="shared" si="23"/>
        <v>#VALUE!</v>
      </c>
      <c r="U71" s="286" t="e">
        <f t="shared" si="24"/>
        <v>#VALUE!</v>
      </c>
      <c r="V71" s="286" t="e">
        <f t="shared" si="25"/>
        <v>#VALUE!</v>
      </c>
      <c r="W71" s="286">
        <v>0.01</v>
      </c>
      <c r="X71" s="286">
        <f>W71*39.4</f>
        <v>0.39400000000000002</v>
      </c>
      <c r="Y71" s="286">
        <f t="shared" si="26"/>
        <v>0.19673050615595075</v>
      </c>
      <c r="Z71" s="780"/>
      <c r="AA71" s="357" t="s">
        <v>937</v>
      </c>
      <c r="AB71" s="359" t="s">
        <v>975</v>
      </c>
      <c r="AC71" s="782"/>
    </row>
    <row r="72" spans="1:29" ht="30" customHeight="1" thickBot="1" x14ac:dyDescent="0.3">
      <c r="A72" s="336" t="s">
        <v>788</v>
      </c>
      <c r="B72" s="313"/>
      <c r="C72" s="313"/>
      <c r="D72" s="313"/>
      <c r="E72" s="313"/>
      <c r="F72" s="313"/>
      <c r="G72" s="313"/>
      <c r="H72" s="313"/>
      <c r="I72" s="313"/>
      <c r="J72" s="313"/>
      <c r="K72" s="319"/>
      <c r="L72" s="313"/>
      <c r="M72" s="313"/>
      <c r="N72" s="313"/>
      <c r="O72" s="313"/>
      <c r="P72" s="313"/>
      <c r="Q72" s="313"/>
      <c r="R72" s="319"/>
      <c r="S72" s="325"/>
      <c r="T72" s="351"/>
      <c r="U72" s="351"/>
      <c r="V72" s="313"/>
      <c r="W72" s="313"/>
      <c r="X72" s="313"/>
      <c r="Y72" s="313"/>
      <c r="Z72" s="313"/>
      <c r="AA72" s="313"/>
      <c r="AB72" s="313"/>
      <c r="AC72" s="338"/>
    </row>
    <row r="73" spans="1:29" ht="46.2" customHeight="1" x14ac:dyDescent="0.25">
      <c r="A73" s="787">
        <v>30</v>
      </c>
      <c r="B73" s="789" t="s">
        <v>908</v>
      </c>
      <c r="C73" s="790" t="s">
        <v>909</v>
      </c>
      <c r="D73" s="792" t="s">
        <v>910</v>
      </c>
      <c r="E73" s="793" t="s">
        <v>911</v>
      </c>
      <c r="F73" s="280" t="s">
        <v>19</v>
      </c>
      <c r="G73" s="305">
        <v>11.875999999999999</v>
      </c>
      <c r="H73" s="303">
        <v>7.86</v>
      </c>
      <c r="I73" s="794" t="s">
        <v>912</v>
      </c>
      <c r="J73" s="794" t="s">
        <v>717</v>
      </c>
      <c r="K73" s="783" t="s">
        <v>117</v>
      </c>
      <c r="L73" s="285" t="s">
        <v>913</v>
      </c>
      <c r="M73" s="286" t="s">
        <v>117</v>
      </c>
      <c r="N73" s="286" t="s">
        <v>914</v>
      </c>
      <c r="O73" s="286">
        <v>37.070599999999999</v>
      </c>
      <c r="P73" s="286">
        <v>81.165000000000006</v>
      </c>
      <c r="Q73" s="286">
        <v>81.040000000000006</v>
      </c>
      <c r="R73" s="318">
        <v>45959</v>
      </c>
      <c r="S73" s="303"/>
      <c r="T73" s="286" t="e">
        <f t="shared" ref="T73:T74" si="27">M73-Q73</f>
        <v>#VALUE!</v>
      </c>
      <c r="U73" s="286" t="e">
        <f t="shared" ref="U73:U74" si="28">T73-0.01</f>
        <v>#VALUE!</v>
      </c>
      <c r="V73" s="286" t="e">
        <f t="shared" ref="V73" si="29">(U73*22270)/(S73*H73*G73)</f>
        <v>#VALUE!</v>
      </c>
      <c r="W73" s="286">
        <v>0</v>
      </c>
      <c r="X73" s="343"/>
      <c r="Y73" s="343"/>
      <c r="Z73" s="780" t="s">
        <v>749</v>
      </c>
      <c r="AA73" s="357" t="s">
        <v>934</v>
      </c>
      <c r="AB73" s="357" t="s">
        <v>960</v>
      </c>
      <c r="AC73" s="781" t="s">
        <v>915</v>
      </c>
    </row>
    <row r="74" spans="1:29" ht="40.200000000000003" customHeight="1" x14ac:dyDescent="0.25">
      <c r="A74" s="788"/>
      <c r="B74" s="789"/>
      <c r="C74" s="791"/>
      <c r="D74" s="792"/>
      <c r="E74" s="793"/>
      <c r="F74" s="290" t="s">
        <v>19</v>
      </c>
      <c r="G74" s="305">
        <v>11.875999999999999</v>
      </c>
      <c r="H74" s="306">
        <v>7.86</v>
      </c>
      <c r="I74" s="794"/>
      <c r="J74" s="794"/>
      <c r="K74" s="783"/>
      <c r="L74" s="285" t="s">
        <v>916</v>
      </c>
      <c r="M74" s="286" t="s">
        <v>117</v>
      </c>
      <c r="N74" s="286" t="s">
        <v>917</v>
      </c>
      <c r="O74" s="286">
        <v>37.046999999999997</v>
      </c>
      <c r="P74" s="286">
        <v>81.453000000000003</v>
      </c>
      <c r="Q74" s="286">
        <v>81.352999999999994</v>
      </c>
      <c r="R74" s="318">
        <v>45959</v>
      </c>
      <c r="S74" s="303"/>
      <c r="T74" s="286" t="e">
        <f t="shared" si="27"/>
        <v>#VALUE!</v>
      </c>
      <c r="U74" s="286" t="e">
        <f t="shared" si="28"/>
        <v>#VALUE!</v>
      </c>
      <c r="W74" s="286">
        <v>0</v>
      </c>
      <c r="X74" s="343"/>
      <c r="Y74" s="343"/>
      <c r="Z74" s="780"/>
      <c r="AA74" s="357" t="s">
        <v>934</v>
      </c>
      <c r="AB74" s="357" t="s">
        <v>960</v>
      </c>
      <c r="AC74" s="782"/>
    </row>
    <row r="75" spans="1:29" ht="30" customHeight="1" thickBot="1" x14ac:dyDescent="0.3">
      <c r="A75" s="784" t="s">
        <v>918</v>
      </c>
      <c r="B75" s="785"/>
      <c r="C75" s="785"/>
      <c r="D75" s="785"/>
      <c r="E75" s="785"/>
      <c r="F75" s="785"/>
      <c r="G75" s="785"/>
      <c r="H75" s="785"/>
      <c r="I75" s="785"/>
      <c r="J75" s="785"/>
      <c r="K75" s="785"/>
      <c r="L75" s="785"/>
      <c r="M75" s="785"/>
      <c r="N75" s="785"/>
      <c r="O75" s="785"/>
      <c r="P75" s="785"/>
      <c r="Q75" s="785"/>
      <c r="R75" s="785"/>
      <c r="S75" s="785"/>
      <c r="T75" s="785"/>
      <c r="U75" s="785"/>
      <c r="V75" s="785"/>
      <c r="W75" s="785"/>
      <c r="X75" s="785"/>
      <c r="Y75" s="785"/>
      <c r="Z75" s="785"/>
      <c r="AA75" s="785"/>
      <c r="AB75" s="785"/>
      <c r="AC75" s="786"/>
    </row>
    <row r="76" spans="1:29" ht="46.2" customHeight="1" thickBot="1" x14ac:dyDescent="0.3">
      <c r="A76" s="787">
        <v>31</v>
      </c>
      <c r="B76" s="789" t="s">
        <v>919</v>
      </c>
      <c r="C76" s="790" t="s">
        <v>920</v>
      </c>
      <c r="D76" s="792" t="s">
        <v>921</v>
      </c>
      <c r="E76" s="793" t="s">
        <v>89</v>
      </c>
      <c r="F76" s="280" t="s">
        <v>19</v>
      </c>
      <c r="G76" s="305">
        <v>5.2</v>
      </c>
      <c r="H76" s="303">
        <v>7.86</v>
      </c>
      <c r="I76" s="794" t="s">
        <v>922</v>
      </c>
      <c r="J76" s="794" t="s">
        <v>717</v>
      </c>
      <c r="K76" s="783" t="s">
        <v>117</v>
      </c>
      <c r="L76" s="280" t="s">
        <v>117</v>
      </c>
      <c r="M76" s="286" t="s">
        <v>117</v>
      </c>
      <c r="N76" s="286" t="s">
        <v>923</v>
      </c>
      <c r="O76" s="286">
        <v>36.705300000000001</v>
      </c>
      <c r="P76" s="286"/>
      <c r="Q76" s="286"/>
      <c r="R76" s="783">
        <v>45960</v>
      </c>
      <c r="S76" s="303"/>
      <c r="T76" s="286"/>
      <c r="U76" s="286"/>
      <c r="V76" s="343"/>
      <c r="W76" s="343"/>
      <c r="X76" s="343"/>
      <c r="Y76" s="343"/>
      <c r="Z76" s="780" t="s">
        <v>749</v>
      </c>
      <c r="AA76" s="362" t="s">
        <v>123</v>
      </c>
      <c r="AB76" s="362" t="s">
        <v>123</v>
      </c>
      <c r="AC76" s="781" t="s">
        <v>924</v>
      </c>
    </row>
    <row r="77" spans="1:29" ht="40.200000000000003" customHeight="1" thickBot="1" x14ac:dyDescent="0.3">
      <c r="A77" s="788"/>
      <c r="B77" s="789"/>
      <c r="C77" s="791"/>
      <c r="D77" s="792"/>
      <c r="E77" s="793"/>
      <c r="F77" s="290" t="s">
        <v>19</v>
      </c>
      <c r="G77" s="302">
        <v>5.2</v>
      </c>
      <c r="H77" s="306">
        <v>7.86</v>
      </c>
      <c r="I77" s="794"/>
      <c r="J77" s="794"/>
      <c r="K77" s="783"/>
      <c r="L77" s="280" t="s">
        <v>117</v>
      </c>
      <c r="M77" s="286" t="s">
        <v>117</v>
      </c>
      <c r="N77" s="286" t="s">
        <v>925</v>
      </c>
      <c r="O77" s="286">
        <v>36.871899999999997</v>
      </c>
      <c r="P77" s="286"/>
      <c r="Q77" s="286"/>
      <c r="R77" s="783"/>
      <c r="S77" s="303"/>
      <c r="T77" s="286"/>
      <c r="U77" s="286"/>
      <c r="V77" s="343"/>
      <c r="W77" s="343"/>
      <c r="X77" s="343"/>
      <c r="Y77" s="343"/>
      <c r="Z77" s="780"/>
      <c r="AA77" s="362" t="s">
        <v>123</v>
      </c>
      <c r="AB77" s="362" t="s">
        <v>123</v>
      </c>
      <c r="AC77" s="782"/>
    </row>
    <row r="78" spans="1:29" ht="30" customHeight="1" thickBot="1" x14ac:dyDescent="0.3">
      <c r="A78" s="336" t="s">
        <v>926</v>
      </c>
      <c r="B78" s="313"/>
      <c r="C78" s="313"/>
      <c r="D78" s="313"/>
      <c r="E78" s="313"/>
      <c r="F78" s="313"/>
      <c r="G78" s="313"/>
      <c r="H78" s="313"/>
      <c r="I78" s="313"/>
      <c r="J78" s="779"/>
      <c r="K78" s="779"/>
      <c r="L78" s="779"/>
      <c r="M78" s="313"/>
      <c r="N78" s="313"/>
      <c r="O78" s="313"/>
      <c r="P78" s="313"/>
      <c r="Q78" s="313"/>
      <c r="R78" s="319"/>
      <c r="S78" s="325"/>
      <c r="T78" s="351"/>
      <c r="U78" s="351"/>
      <c r="V78" s="313"/>
      <c r="W78" s="313"/>
      <c r="X78" s="313"/>
      <c r="Y78" s="313"/>
      <c r="Z78" s="313"/>
      <c r="AA78" s="313"/>
      <c r="AB78" s="313"/>
      <c r="AC78" s="338"/>
    </row>
    <row r="79" spans="1:29" ht="72" customHeight="1" thickBot="1" x14ac:dyDescent="0.3">
      <c r="A79" s="329">
        <v>1</v>
      </c>
      <c r="B79" s="330" t="s">
        <v>116</v>
      </c>
      <c r="C79" s="346" t="s">
        <v>927</v>
      </c>
      <c r="D79" s="331" t="s">
        <v>910</v>
      </c>
      <c r="E79" s="307" t="s">
        <v>745</v>
      </c>
      <c r="F79" s="308" t="s">
        <v>19</v>
      </c>
      <c r="G79" s="309">
        <v>2.5</v>
      </c>
      <c r="H79" s="310">
        <v>7.86</v>
      </c>
      <c r="I79" s="308" t="s">
        <v>928</v>
      </c>
      <c r="J79" s="296" t="s">
        <v>271</v>
      </c>
      <c r="K79" s="317">
        <v>45162</v>
      </c>
      <c r="L79" s="296" t="s">
        <v>119</v>
      </c>
      <c r="M79" s="298">
        <v>17.2575</v>
      </c>
      <c r="N79" s="296" t="s">
        <v>117</v>
      </c>
      <c r="O79" s="298" t="s">
        <v>117</v>
      </c>
      <c r="P79" s="298">
        <v>17.629000000000001</v>
      </c>
      <c r="Q79" s="298">
        <v>17.221</v>
      </c>
      <c r="R79" s="317">
        <v>45836</v>
      </c>
      <c r="S79" s="321">
        <f>R79-K79</f>
        <v>674</v>
      </c>
      <c r="T79" s="298">
        <f>M79-Q79</f>
        <v>3.6500000000000199E-2</v>
      </c>
      <c r="U79" s="298">
        <f>T79-0.01</f>
        <v>2.6500000000000197E-2</v>
      </c>
      <c r="V79" s="298">
        <f>(U79*22270)/(S79*H79*G79)</f>
        <v>4.4559841740850974E-2</v>
      </c>
      <c r="W79" s="298"/>
      <c r="X79" s="298"/>
      <c r="Y79" s="298"/>
      <c r="Z79" s="344" t="s">
        <v>709</v>
      </c>
      <c r="AA79" s="358" t="s">
        <v>985</v>
      </c>
      <c r="AB79" s="358" t="s">
        <v>985</v>
      </c>
      <c r="AC79" s="345" t="s">
        <v>0</v>
      </c>
    </row>
  </sheetData>
  <dataConsolidate/>
  <mergeCells count="264">
    <mergeCell ref="C1:Z1"/>
    <mergeCell ref="A2:D2"/>
    <mergeCell ref="E2:Z2"/>
    <mergeCell ref="AC2:AC3"/>
    <mergeCell ref="A5:A6"/>
    <mergeCell ref="B5:B6"/>
    <mergeCell ref="C5:C6"/>
    <mergeCell ref="D5:D6"/>
    <mergeCell ref="E5:E6"/>
    <mergeCell ref="I5:I6"/>
    <mergeCell ref="AB2:AB3"/>
    <mergeCell ref="AA2:AA3"/>
    <mergeCell ref="Z8:Z9"/>
    <mergeCell ref="AC8:AC9"/>
    <mergeCell ref="A10:A11"/>
    <mergeCell ref="B10:B11"/>
    <mergeCell ref="C10:C11"/>
    <mergeCell ref="D10:D11"/>
    <mergeCell ref="E10:E11"/>
    <mergeCell ref="I10:I11"/>
    <mergeCell ref="AC5:AC6"/>
    <mergeCell ref="A8:A9"/>
    <mergeCell ref="B8:B9"/>
    <mergeCell ref="C8:C9"/>
    <mergeCell ref="D8:D9"/>
    <mergeCell ref="E8:E9"/>
    <mergeCell ref="I8:I9"/>
    <mergeCell ref="J8:J9"/>
    <mergeCell ref="Z5:Z6"/>
    <mergeCell ref="J5:J6"/>
    <mergeCell ref="Z12:Z13"/>
    <mergeCell ref="AC12:AC13"/>
    <mergeCell ref="A14:A15"/>
    <mergeCell ref="B14:B15"/>
    <mergeCell ref="C14:C15"/>
    <mergeCell ref="D14:D15"/>
    <mergeCell ref="E14:E15"/>
    <mergeCell ref="I14:I15"/>
    <mergeCell ref="AC10:AC11"/>
    <mergeCell ref="A12:A13"/>
    <mergeCell ref="B12:B13"/>
    <mergeCell ref="C12:C13"/>
    <mergeCell ref="D12:D13"/>
    <mergeCell ref="E12:E13"/>
    <mergeCell ref="I12:I13"/>
    <mergeCell ref="J12:J13"/>
    <mergeCell ref="Z10:Z11"/>
    <mergeCell ref="J10:J11"/>
    <mergeCell ref="Z18:Z19"/>
    <mergeCell ref="AC18:AC19"/>
    <mergeCell ref="A21:A22"/>
    <mergeCell ref="B21:B22"/>
    <mergeCell ref="C21:C22"/>
    <mergeCell ref="D21:D22"/>
    <mergeCell ref="E21:E22"/>
    <mergeCell ref="I21:I22"/>
    <mergeCell ref="AC14:AC15"/>
    <mergeCell ref="A18:A19"/>
    <mergeCell ref="B18:B19"/>
    <mergeCell ref="C18:C19"/>
    <mergeCell ref="D18:D19"/>
    <mergeCell ref="E18:E19"/>
    <mergeCell ref="I18:I19"/>
    <mergeCell ref="J18:J19"/>
    <mergeCell ref="Z14:Z15"/>
    <mergeCell ref="J14:J15"/>
    <mergeCell ref="Z24:Z25"/>
    <mergeCell ref="AC24:AC25"/>
    <mergeCell ref="A26:A27"/>
    <mergeCell ref="B26:B27"/>
    <mergeCell ref="C26:C27"/>
    <mergeCell ref="D26:D27"/>
    <mergeCell ref="E26:E27"/>
    <mergeCell ref="I26:I27"/>
    <mergeCell ref="AC21:AC22"/>
    <mergeCell ref="A24:A25"/>
    <mergeCell ref="B24:B25"/>
    <mergeCell ref="C24:C25"/>
    <mergeCell ref="D24:D25"/>
    <mergeCell ref="E24:E25"/>
    <mergeCell ref="I24:I25"/>
    <mergeCell ref="J24:J25"/>
    <mergeCell ref="Z21:Z22"/>
    <mergeCell ref="J21:J22"/>
    <mergeCell ref="Z29:Z30"/>
    <mergeCell ref="AC29:AC30"/>
    <mergeCell ref="A32:A33"/>
    <mergeCell ref="B32:B33"/>
    <mergeCell ref="C32:C33"/>
    <mergeCell ref="D32:D33"/>
    <mergeCell ref="E32:E33"/>
    <mergeCell ref="I32:I33"/>
    <mergeCell ref="AC26:AC27"/>
    <mergeCell ref="A29:A30"/>
    <mergeCell ref="B29:B30"/>
    <mergeCell ref="C29:C30"/>
    <mergeCell ref="D29:D30"/>
    <mergeCell ref="E29:E30"/>
    <mergeCell ref="I29:I30"/>
    <mergeCell ref="J29:J30"/>
    <mergeCell ref="Z26:Z27"/>
    <mergeCell ref="J26:J27"/>
    <mergeCell ref="Z37:Z38"/>
    <mergeCell ref="AC37:AC38"/>
    <mergeCell ref="A39:A40"/>
    <mergeCell ref="B39:B40"/>
    <mergeCell ref="C39:C40"/>
    <mergeCell ref="D39:D40"/>
    <mergeCell ref="E39:E40"/>
    <mergeCell ref="AC32:AC33"/>
    <mergeCell ref="J36:AC36"/>
    <mergeCell ref="A37:A38"/>
    <mergeCell ref="B37:B38"/>
    <mergeCell ref="C37:C38"/>
    <mergeCell ref="D37:D38"/>
    <mergeCell ref="E37:E38"/>
    <mergeCell ref="I37:I38"/>
    <mergeCell ref="J37:J38"/>
    <mergeCell ref="Z32:Z33"/>
    <mergeCell ref="J32:J33"/>
    <mergeCell ref="Z42:Z43"/>
    <mergeCell ref="AC42:AC43"/>
    <mergeCell ref="A44:A45"/>
    <mergeCell ref="B44:B45"/>
    <mergeCell ref="C44:C45"/>
    <mergeCell ref="D44:D45"/>
    <mergeCell ref="E44:E45"/>
    <mergeCell ref="Z39:Z40"/>
    <mergeCell ref="AC39:AC40"/>
    <mergeCell ref="A42:A43"/>
    <mergeCell ref="B42:B43"/>
    <mergeCell ref="C42:C43"/>
    <mergeCell ref="D42:D43"/>
    <mergeCell ref="E42:E43"/>
    <mergeCell ref="I42:I43"/>
    <mergeCell ref="J42:J43"/>
    <mergeCell ref="I39:I40"/>
    <mergeCell ref="J39:J40"/>
    <mergeCell ref="Z46:Z47"/>
    <mergeCell ref="AC46:AC47"/>
    <mergeCell ref="A48:A49"/>
    <mergeCell ref="B48:B49"/>
    <mergeCell ref="C48:C49"/>
    <mergeCell ref="D48:D49"/>
    <mergeCell ref="E48:E49"/>
    <mergeCell ref="Z44:Z45"/>
    <mergeCell ref="AC44:AC45"/>
    <mergeCell ref="A46:A47"/>
    <mergeCell ref="B46:B47"/>
    <mergeCell ref="C46:C47"/>
    <mergeCell ref="D46:D47"/>
    <mergeCell ref="E46:E47"/>
    <mergeCell ref="I46:I47"/>
    <mergeCell ref="J46:J47"/>
    <mergeCell ref="I44:I45"/>
    <mergeCell ref="J44:J45"/>
    <mergeCell ref="Z50:Z51"/>
    <mergeCell ref="AC50:AC51"/>
    <mergeCell ref="A52:A53"/>
    <mergeCell ref="B52:B53"/>
    <mergeCell ref="C52:C53"/>
    <mergeCell ref="D52:D53"/>
    <mergeCell ref="E52:E53"/>
    <mergeCell ref="Z48:Z49"/>
    <mergeCell ref="AC48:AC49"/>
    <mergeCell ref="A50:A51"/>
    <mergeCell ref="B50:B51"/>
    <mergeCell ref="C50:C51"/>
    <mergeCell ref="D50:D51"/>
    <mergeCell ref="E50:E51"/>
    <mergeCell ref="I50:I51"/>
    <mergeCell ref="J50:J51"/>
    <mergeCell ref="I48:I49"/>
    <mergeCell ref="J48:J49"/>
    <mergeCell ref="Z54:Z55"/>
    <mergeCell ref="AC54:AC55"/>
    <mergeCell ref="A56:A57"/>
    <mergeCell ref="B56:B57"/>
    <mergeCell ref="C56:C57"/>
    <mergeCell ref="D56:D57"/>
    <mergeCell ref="E56:E57"/>
    <mergeCell ref="Z52:Z53"/>
    <mergeCell ref="AC52:AC53"/>
    <mergeCell ref="A54:A55"/>
    <mergeCell ref="B54:B55"/>
    <mergeCell ref="C54:C55"/>
    <mergeCell ref="D54:D55"/>
    <mergeCell ref="E54:E55"/>
    <mergeCell ref="I54:I55"/>
    <mergeCell ref="J54:J55"/>
    <mergeCell ref="I52:I53"/>
    <mergeCell ref="J52:J53"/>
    <mergeCell ref="Z58:Z59"/>
    <mergeCell ref="AC58:AC59"/>
    <mergeCell ref="A61:A62"/>
    <mergeCell ref="B61:B62"/>
    <mergeCell ref="C61:C62"/>
    <mergeCell ref="D61:D62"/>
    <mergeCell ref="E61:E62"/>
    <mergeCell ref="Z56:Z57"/>
    <mergeCell ref="AC56:AC57"/>
    <mergeCell ref="A58:A59"/>
    <mergeCell ref="B58:B59"/>
    <mergeCell ref="C58:C59"/>
    <mergeCell ref="D58:D59"/>
    <mergeCell ref="E58:E59"/>
    <mergeCell ref="I58:I59"/>
    <mergeCell ref="J58:J59"/>
    <mergeCell ref="I56:I57"/>
    <mergeCell ref="J56:J57"/>
    <mergeCell ref="Z63:Z64"/>
    <mergeCell ref="AC63:AC64"/>
    <mergeCell ref="A65:A66"/>
    <mergeCell ref="B65:B66"/>
    <mergeCell ref="C65:C66"/>
    <mergeCell ref="D65:D66"/>
    <mergeCell ref="E65:E66"/>
    <mergeCell ref="Z61:Z62"/>
    <mergeCell ref="AC61:AC62"/>
    <mergeCell ref="A63:A64"/>
    <mergeCell ref="B63:B64"/>
    <mergeCell ref="C63:C64"/>
    <mergeCell ref="D63:D64"/>
    <mergeCell ref="E63:E64"/>
    <mergeCell ref="I63:I64"/>
    <mergeCell ref="J63:J64"/>
    <mergeCell ref="I61:I62"/>
    <mergeCell ref="J61:J62"/>
    <mergeCell ref="Z70:Z71"/>
    <mergeCell ref="AC70:AC71"/>
    <mergeCell ref="A73:A74"/>
    <mergeCell ref="B73:B74"/>
    <mergeCell ref="C73:C74"/>
    <mergeCell ref="D73:D74"/>
    <mergeCell ref="E73:E74"/>
    <mergeCell ref="Z65:Z66"/>
    <mergeCell ref="AC65:AC66"/>
    <mergeCell ref="A70:A71"/>
    <mergeCell ref="B70:B71"/>
    <mergeCell ref="C70:C71"/>
    <mergeCell ref="D70:D71"/>
    <mergeCell ref="E70:E71"/>
    <mergeCell ref="I70:I71"/>
    <mergeCell ref="J70:J71"/>
    <mergeCell ref="I65:I66"/>
    <mergeCell ref="J65:J66"/>
    <mergeCell ref="J78:L78"/>
    <mergeCell ref="Z76:Z77"/>
    <mergeCell ref="AC76:AC77"/>
    <mergeCell ref="K76:K77"/>
    <mergeCell ref="R76:R77"/>
    <mergeCell ref="Z73:Z74"/>
    <mergeCell ref="AC73:AC74"/>
    <mergeCell ref="A75:AC75"/>
    <mergeCell ref="A76:A77"/>
    <mergeCell ref="B76:B77"/>
    <mergeCell ref="C76:C77"/>
    <mergeCell ref="D76:D77"/>
    <mergeCell ref="E76:E77"/>
    <mergeCell ref="I76:I77"/>
    <mergeCell ref="J76:J77"/>
    <mergeCell ref="I73:I74"/>
    <mergeCell ref="J73:J74"/>
    <mergeCell ref="K73:K74"/>
  </mergeCells>
  <conditionalFormatting sqref="B5">
    <cfRule type="duplicateValues" dxfId="223" priority="245"/>
  </conditionalFormatting>
  <conditionalFormatting sqref="B5:B6">
    <cfRule type="duplicateValues" dxfId="222" priority="246"/>
    <cfRule type="duplicateValues" dxfId="221" priority="243"/>
    <cfRule type="duplicateValues" dxfId="220" priority="242"/>
    <cfRule type="duplicateValues" dxfId="219" priority="241"/>
  </conditionalFormatting>
  <conditionalFormatting sqref="B6">
    <cfRule type="duplicateValues" dxfId="218" priority="244"/>
  </conditionalFormatting>
  <conditionalFormatting sqref="B8">
    <cfRule type="duplicateValues" dxfId="217" priority="190"/>
  </conditionalFormatting>
  <conditionalFormatting sqref="B8:B9">
    <cfRule type="duplicateValues" dxfId="216" priority="191"/>
    <cfRule type="duplicateValues" dxfId="215" priority="188"/>
    <cfRule type="duplicateValues" dxfId="214" priority="187"/>
    <cfRule type="duplicateValues" dxfId="213" priority="186"/>
  </conditionalFormatting>
  <conditionalFormatting sqref="B9">
    <cfRule type="duplicateValues" dxfId="212" priority="189"/>
  </conditionalFormatting>
  <conditionalFormatting sqref="B10">
    <cfRule type="duplicateValues" dxfId="211" priority="174"/>
  </conditionalFormatting>
  <conditionalFormatting sqref="B10:B11">
    <cfRule type="duplicateValues" dxfId="210" priority="171"/>
    <cfRule type="duplicateValues" dxfId="209" priority="170"/>
    <cfRule type="duplicateValues" dxfId="208" priority="172"/>
    <cfRule type="duplicateValues" dxfId="207" priority="175"/>
  </conditionalFormatting>
  <conditionalFormatting sqref="B11">
    <cfRule type="duplicateValues" dxfId="206" priority="173"/>
  </conditionalFormatting>
  <conditionalFormatting sqref="B12">
    <cfRule type="duplicateValues" dxfId="205" priority="182"/>
  </conditionalFormatting>
  <conditionalFormatting sqref="B12:B13">
    <cfRule type="duplicateValues" dxfId="204" priority="183"/>
    <cfRule type="duplicateValues" dxfId="203" priority="178"/>
    <cfRule type="duplicateValues" dxfId="202" priority="179"/>
    <cfRule type="duplicateValues" dxfId="201" priority="180"/>
  </conditionalFormatting>
  <conditionalFormatting sqref="B13">
    <cfRule type="duplicateValues" dxfId="200" priority="181"/>
  </conditionalFormatting>
  <conditionalFormatting sqref="B14">
    <cfRule type="duplicateValues" dxfId="199" priority="237"/>
  </conditionalFormatting>
  <conditionalFormatting sqref="B14:B15">
    <cfRule type="duplicateValues" dxfId="198" priority="233"/>
    <cfRule type="duplicateValues" dxfId="197" priority="238"/>
    <cfRule type="duplicateValues" dxfId="196" priority="234"/>
    <cfRule type="duplicateValues" dxfId="195" priority="235"/>
  </conditionalFormatting>
  <conditionalFormatting sqref="B15">
    <cfRule type="duplicateValues" dxfId="194" priority="236"/>
  </conditionalFormatting>
  <conditionalFormatting sqref="B17">
    <cfRule type="duplicateValues" dxfId="193" priority="169"/>
  </conditionalFormatting>
  <conditionalFormatting sqref="B18">
    <cfRule type="duplicateValues" dxfId="192" priority="165"/>
  </conditionalFormatting>
  <conditionalFormatting sqref="B18:B19">
    <cfRule type="duplicateValues" dxfId="191" priority="161"/>
    <cfRule type="duplicateValues" dxfId="190" priority="162"/>
    <cfRule type="duplicateValues" dxfId="189" priority="163"/>
    <cfRule type="duplicateValues" dxfId="188" priority="166"/>
  </conditionalFormatting>
  <conditionalFormatting sqref="B19">
    <cfRule type="duplicateValues" dxfId="187" priority="164"/>
  </conditionalFormatting>
  <conditionalFormatting sqref="B21">
    <cfRule type="duplicateValues" dxfId="186" priority="231"/>
  </conditionalFormatting>
  <conditionalFormatting sqref="B21:B22">
    <cfRule type="duplicateValues" dxfId="185" priority="232"/>
    <cfRule type="duplicateValues" dxfId="184" priority="228"/>
    <cfRule type="duplicateValues" dxfId="183" priority="227"/>
    <cfRule type="duplicateValues" dxfId="182" priority="229"/>
  </conditionalFormatting>
  <conditionalFormatting sqref="B22">
    <cfRule type="duplicateValues" dxfId="181" priority="230"/>
  </conditionalFormatting>
  <conditionalFormatting sqref="B24">
    <cfRule type="duplicateValues" dxfId="180" priority="155"/>
  </conditionalFormatting>
  <conditionalFormatting sqref="B24:B25">
    <cfRule type="duplicateValues" dxfId="179" priority="153"/>
    <cfRule type="duplicateValues" dxfId="178" priority="152"/>
    <cfRule type="duplicateValues" dxfId="177" priority="156"/>
    <cfRule type="duplicateValues" dxfId="176" priority="151"/>
  </conditionalFormatting>
  <conditionalFormatting sqref="B25">
    <cfRule type="duplicateValues" dxfId="175" priority="154"/>
  </conditionalFormatting>
  <conditionalFormatting sqref="B26">
    <cfRule type="duplicateValues" dxfId="174" priority="223"/>
  </conditionalFormatting>
  <conditionalFormatting sqref="B26:B27">
    <cfRule type="duplicateValues" dxfId="173" priority="220"/>
    <cfRule type="duplicateValues" dxfId="172" priority="224"/>
    <cfRule type="duplicateValues" dxfId="171" priority="219"/>
    <cfRule type="duplicateValues" dxfId="170" priority="221"/>
  </conditionalFormatting>
  <conditionalFormatting sqref="B27">
    <cfRule type="duplicateValues" dxfId="169" priority="222"/>
  </conditionalFormatting>
  <conditionalFormatting sqref="B29">
    <cfRule type="duplicateValues" dxfId="168" priority="147"/>
  </conditionalFormatting>
  <conditionalFormatting sqref="B29:B30">
    <cfRule type="duplicateValues" dxfId="167" priority="143"/>
    <cfRule type="duplicateValues" dxfId="166" priority="144"/>
    <cfRule type="duplicateValues" dxfId="165" priority="145"/>
    <cfRule type="duplicateValues" dxfId="164" priority="148"/>
  </conditionalFormatting>
  <conditionalFormatting sqref="B30">
    <cfRule type="duplicateValues" dxfId="163" priority="146"/>
  </conditionalFormatting>
  <conditionalFormatting sqref="B32">
    <cfRule type="duplicateValues" dxfId="162" priority="141"/>
  </conditionalFormatting>
  <conditionalFormatting sqref="B32:B33">
    <cfRule type="duplicateValues" dxfId="161" priority="137"/>
    <cfRule type="duplicateValues" dxfId="160" priority="138"/>
    <cfRule type="duplicateValues" dxfId="159" priority="139"/>
    <cfRule type="duplicateValues" dxfId="158" priority="142"/>
  </conditionalFormatting>
  <conditionalFormatting sqref="B33">
    <cfRule type="duplicateValues" dxfId="157" priority="140"/>
  </conditionalFormatting>
  <conditionalFormatting sqref="B35">
    <cfRule type="duplicateValues" dxfId="156" priority="132"/>
  </conditionalFormatting>
  <conditionalFormatting sqref="B37">
    <cfRule type="duplicateValues" dxfId="155" priority="130"/>
  </conditionalFormatting>
  <conditionalFormatting sqref="B37:B38">
    <cfRule type="duplicateValues" dxfId="154" priority="127"/>
    <cfRule type="duplicateValues" dxfId="153" priority="126"/>
    <cfRule type="duplicateValues" dxfId="152" priority="128"/>
    <cfRule type="duplicateValues" dxfId="151" priority="131"/>
  </conditionalFormatting>
  <conditionalFormatting sqref="B38">
    <cfRule type="duplicateValues" dxfId="150" priority="129"/>
  </conditionalFormatting>
  <conditionalFormatting sqref="B39">
    <cfRule type="duplicateValues" dxfId="149" priority="122"/>
  </conditionalFormatting>
  <conditionalFormatting sqref="B39:B40">
    <cfRule type="duplicateValues" dxfId="148" priority="118"/>
    <cfRule type="duplicateValues" dxfId="147" priority="119"/>
    <cfRule type="duplicateValues" dxfId="146" priority="120"/>
    <cfRule type="duplicateValues" dxfId="145" priority="123"/>
  </conditionalFormatting>
  <conditionalFormatting sqref="B40">
    <cfRule type="duplicateValues" dxfId="144" priority="121"/>
  </conditionalFormatting>
  <conditionalFormatting sqref="B42">
    <cfRule type="duplicateValues" dxfId="143" priority="270"/>
  </conditionalFormatting>
  <conditionalFormatting sqref="B42:B43">
    <cfRule type="duplicateValues" dxfId="142" priority="267"/>
    <cfRule type="duplicateValues" dxfId="141" priority="268"/>
    <cfRule type="duplicateValues" dxfId="140" priority="271"/>
    <cfRule type="duplicateValues" dxfId="139" priority="266"/>
  </conditionalFormatting>
  <conditionalFormatting sqref="B43">
    <cfRule type="duplicateValues" dxfId="138" priority="269"/>
  </conditionalFormatting>
  <conditionalFormatting sqref="B44">
    <cfRule type="duplicateValues" dxfId="137" priority="264"/>
  </conditionalFormatting>
  <conditionalFormatting sqref="B44:B45">
    <cfRule type="duplicateValues" dxfId="136" priority="260"/>
    <cfRule type="duplicateValues" dxfId="135" priority="261"/>
    <cfRule type="duplicateValues" dxfId="134" priority="262"/>
    <cfRule type="duplicateValues" dxfId="133" priority="265"/>
  </conditionalFormatting>
  <conditionalFormatting sqref="B45">
    <cfRule type="duplicateValues" dxfId="132" priority="263"/>
  </conditionalFormatting>
  <conditionalFormatting sqref="B46">
    <cfRule type="duplicateValues" dxfId="131" priority="258"/>
  </conditionalFormatting>
  <conditionalFormatting sqref="B46:B47">
    <cfRule type="duplicateValues" dxfId="130" priority="259"/>
    <cfRule type="duplicateValues" dxfId="129" priority="256"/>
    <cfRule type="duplicateValues" dxfId="128" priority="255"/>
    <cfRule type="duplicateValues" dxfId="127" priority="254"/>
  </conditionalFormatting>
  <conditionalFormatting sqref="B47">
    <cfRule type="duplicateValues" dxfId="126" priority="257"/>
  </conditionalFormatting>
  <conditionalFormatting sqref="B48">
    <cfRule type="duplicateValues" dxfId="125" priority="251"/>
  </conditionalFormatting>
  <conditionalFormatting sqref="B48:B49">
    <cfRule type="duplicateValues" dxfId="124" priority="248"/>
    <cfRule type="duplicateValues" dxfId="123" priority="250"/>
    <cfRule type="duplicateValues" dxfId="122" priority="249"/>
    <cfRule type="duplicateValues" dxfId="121" priority="252"/>
  </conditionalFormatting>
  <conditionalFormatting sqref="B49">
    <cfRule type="duplicateValues" dxfId="120" priority="253"/>
  </conditionalFormatting>
  <conditionalFormatting sqref="B50">
    <cfRule type="duplicateValues" dxfId="119" priority="218"/>
  </conditionalFormatting>
  <conditionalFormatting sqref="B50:B51">
    <cfRule type="duplicateValues" dxfId="118" priority="213"/>
    <cfRule type="duplicateValues" dxfId="117" priority="214"/>
    <cfRule type="duplicateValues" dxfId="116" priority="215"/>
    <cfRule type="duplicateValues" dxfId="115" priority="217"/>
  </conditionalFormatting>
  <conditionalFormatting sqref="B51">
    <cfRule type="duplicateValues" dxfId="114" priority="216"/>
  </conditionalFormatting>
  <conditionalFormatting sqref="B52">
    <cfRule type="duplicateValues" dxfId="113" priority="211"/>
  </conditionalFormatting>
  <conditionalFormatting sqref="B52:B53">
    <cfRule type="duplicateValues" dxfId="112" priority="209"/>
    <cfRule type="duplicateValues" dxfId="111" priority="212"/>
    <cfRule type="duplicateValues" dxfId="110" priority="207"/>
    <cfRule type="duplicateValues" dxfId="109" priority="208"/>
  </conditionalFormatting>
  <conditionalFormatting sqref="B53">
    <cfRule type="duplicateValues" dxfId="108" priority="210"/>
  </conditionalFormatting>
  <conditionalFormatting sqref="B54">
    <cfRule type="duplicateValues" dxfId="107" priority="205"/>
  </conditionalFormatting>
  <conditionalFormatting sqref="B54:B55">
    <cfRule type="duplicateValues" dxfId="106" priority="203"/>
    <cfRule type="duplicateValues" dxfId="105" priority="202"/>
    <cfRule type="duplicateValues" dxfId="104" priority="206"/>
    <cfRule type="duplicateValues" dxfId="103" priority="201"/>
  </conditionalFormatting>
  <conditionalFormatting sqref="B55">
    <cfRule type="duplicateValues" dxfId="102" priority="204"/>
  </conditionalFormatting>
  <conditionalFormatting sqref="B56">
    <cfRule type="duplicateValues" dxfId="101" priority="199"/>
  </conditionalFormatting>
  <conditionalFormatting sqref="B56:B57">
    <cfRule type="duplicateValues" dxfId="100" priority="195"/>
    <cfRule type="duplicateValues" dxfId="99" priority="197"/>
    <cfRule type="duplicateValues" dxfId="98" priority="200"/>
    <cfRule type="duplicateValues" dxfId="97" priority="196"/>
  </conditionalFormatting>
  <conditionalFormatting sqref="B57">
    <cfRule type="duplicateValues" dxfId="96" priority="198"/>
  </conditionalFormatting>
  <conditionalFormatting sqref="B58">
    <cfRule type="duplicateValues" dxfId="95" priority="194"/>
  </conditionalFormatting>
  <conditionalFormatting sqref="B58:B59">
    <cfRule type="duplicateValues" dxfId="94" priority="293"/>
  </conditionalFormatting>
  <conditionalFormatting sqref="B59">
    <cfRule type="duplicateValues" dxfId="93" priority="294"/>
  </conditionalFormatting>
  <conditionalFormatting sqref="B68">
    <cfRule type="duplicateValues" dxfId="92" priority="109"/>
  </conditionalFormatting>
  <conditionalFormatting sqref="B70">
    <cfRule type="duplicateValues" dxfId="91" priority="99"/>
  </conditionalFormatting>
  <conditionalFormatting sqref="B70:B71">
    <cfRule type="duplicateValues" dxfId="90" priority="102"/>
  </conditionalFormatting>
  <conditionalFormatting sqref="B71">
    <cfRule type="duplicateValues" dxfId="89" priority="103"/>
  </conditionalFormatting>
  <conditionalFormatting sqref="B73">
    <cfRule type="duplicateValues" dxfId="88" priority="94"/>
  </conditionalFormatting>
  <conditionalFormatting sqref="B73:B74 B76:B77">
    <cfRule type="duplicateValues" dxfId="87" priority="97"/>
  </conditionalFormatting>
  <conditionalFormatting sqref="B74 B77">
    <cfRule type="duplicateValues" dxfId="86" priority="98"/>
  </conditionalFormatting>
  <conditionalFormatting sqref="B76">
    <cfRule type="duplicateValues" dxfId="85" priority="93"/>
  </conditionalFormatting>
  <conditionalFormatting sqref="B79">
    <cfRule type="duplicateValues" dxfId="84" priority="106"/>
  </conditionalFormatting>
  <conditionalFormatting sqref="L5:L6">
    <cfRule type="duplicateValues" dxfId="83" priority="104"/>
  </conditionalFormatting>
  <conditionalFormatting sqref="L8:L9">
    <cfRule type="duplicateValues" dxfId="82" priority="192"/>
  </conditionalFormatting>
  <conditionalFormatting sqref="L10:L11">
    <cfRule type="duplicateValues" dxfId="81" priority="176"/>
  </conditionalFormatting>
  <conditionalFormatting sqref="L12:L13">
    <cfRule type="duplicateValues" dxfId="80" priority="184"/>
  </conditionalFormatting>
  <conditionalFormatting sqref="L14:L15">
    <cfRule type="duplicateValues" dxfId="79" priority="239"/>
  </conditionalFormatting>
  <conditionalFormatting sqref="L17">
    <cfRule type="duplicateValues" dxfId="78" priority="288"/>
  </conditionalFormatting>
  <conditionalFormatting sqref="L18:L19">
    <cfRule type="duplicateValues" dxfId="77" priority="167"/>
  </conditionalFormatting>
  <conditionalFormatting sqref="L21:L22">
    <cfRule type="duplicateValues" dxfId="76" priority="159"/>
  </conditionalFormatting>
  <conditionalFormatting sqref="L24:L25">
    <cfRule type="duplicateValues" dxfId="75" priority="157"/>
  </conditionalFormatting>
  <conditionalFormatting sqref="L26:L27">
    <cfRule type="duplicateValues" dxfId="74" priority="225"/>
  </conditionalFormatting>
  <conditionalFormatting sqref="L29:L30">
    <cfRule type="duplicateValues" dxfId="73" priority="149"/>
  </conditionalFormatting>
  <conditionalFormatting sqref="L32:L33">
    <cfRule type="duplicateValues" dxfId="72" priority="135"/>
  </conditionalFormatting>
  <conditionalFormatting sqref="L35">
    <cfRule type="duplicateValues" dxfId="71" priority="133"/>
  </conditionalFormatting>
  <conditionalFormatting sqref="L37:L38">
    <cfRule type="duplicateValues" dxfId="70" priority="124"/>
  </conditionalFormatting>
  <conditionalFormatting sqref="L39:L40">
    <cfRule type="duplicateValues" dxfId="69" priority="116"/>
  </conditionalFormatting>
  <conditionalFormatting sqref="L42:L43">
    <cfRule type="duplicateValues" dxfId="68" priority="286"/>
  </conditionalFormatting>
  <conditionalFormatting sqref="L44:L45">
    <cfRule type="duplicateValues" dxfId="67" priority="284"/>
  </conditionalFormatting>
  <conditionalFormatting sqref="L46:L49">
    <cfRule type="duplicateValues" dxfId="66" priority="282"/>
  </conditionalFormatting>
  <conditionalFormatting sqref="L50:L51">
    <cfRule type="duplicateValues" dxfId="65" priority="278"/>
  </conditionalFormatting>
  <conditionalFormatting sqref="L52:L53">
    <cfRule type="duplicateValues" dxfId="64" priority="114"/>
  </conditionalFormatting>
  <conditionalFormatting sqref="L54:L55">
    <cfRule type="duplicateValues" dxfId="63" priority="280"/>
  </conditionalFormatting>
  <conditionalFormatting sqref="L56:L57">
    <cfRule type="duplicateValues" dxfId="62" priority="272"/>
  </conditionalFormatting>
  <conditionalFormatting sqref="L58:L59">
    <cfRule type="duplicateValues" dxfId="61" priority="291"/>
  </conditionalFormatting>
  <conditionalFormatting sqref="L61:L62">
    <cfRule type="duplicateValues" dxfId="60" priority="274"/>
  </conditionalFormatting>
  <conditionalFormatting sqref="L63:L64">
    <cfRule type="duplicateValues" dxfId="59" priority="276"/>
  </conditionalFormatting>
  <conditionalFormatting sqref="L65:L66">
    <cfRule type="duplicateValues" dxfId="58" priority="112"/>
  </conditionalFormatting>
  <conditionalFormatting sqref="L68">
    <cfRule type="duplicateValues" dxfId="57" priority="110"/>
  </conditionalFormatting>
  <conditionalFormatting sqref="L70:L71">
    <cfRule type="duplicateValues" dxfId="56" priority="100"/>
  </conditionalFormatting>
  <conditionalFormatting sqref="L73:L74 L76:L77">
    <cfRule type="duplicateValues" dxfId="55" priority="95"/>
  </conditionalFormatting>
  <conditionalFormatting sqref="L79">
    <cfRule type="duplicateValues" dxfId="54" priority="107"/>
  </conditionalFormatting>
  <conditionalFormatting sqref="L80:L1048576 L3">
    <cfRule type="duplicateValues" dxfId="53" priority="290"/>
  </conditionalFormatting>
  <conditionalFormatting sqref="M79 P79:U79 W79:Y79">
    <cfRule type="duplicateValues" dxfId="52" priority="108"/>
  </conditionalFormatting>
  <conditionalFormatting sqref="M8:O9">
    <cfRule type="duplicateValues" dxfId="51" priority="193"/>
  </conditionalFormatting>
  <conditionalFormatting sqref="M10:O11">
    <cfRule type="duplicateValues" dxfId="50" priority="177"/>
  </conditionalFormatting>
  <conditionalFormatting sqref="M12:O13">
    <cfRule type="duplicateValues" dxfId="49" priority="185"/>
  </conditionalFormatting>
  <conditionalFormatting sqref="M14:O15">
    <cfRule type="duplicateValues" dxfId="48" priority="240"/>
  </conditionalFormatting>
  <conditionalFormatting sqref="M18:O19">
    <cfRule type="duplicateValues" dxfId="47" priority="168"/>
  </conditionalFormatting>
  <conditionalFormatting sqref="M21:O22">
    <cfRule type="duplicateValues" dxfId="46" priority="160"/>
  </conditionalFormatting>
  <conditionalFormatting sqref="M24:O25">
    <cfRule type="duplicateValues" dxfId="45" priority="158"/>
  </conditionalFormatting>
  <conditionalFormatting sqref="M26:O27">
    <cfRule type="duplicateValues" dxfId="44" priority="226"/>
  </conditionalFormatting>
  <conditionalFormatting sqref="M29:O30">
    <cfRule type="duplicateValues" dxfId="43" priority="150"/>
  </conditionalFormatting>
  <conditionalFormatting sqref="M32:O33">
    <cfRule type="duplicateValues" dxfId="42" priority="136"/>
  </conditionalFormatting>
  <conditionalFormatting sqref="M37:O38">
    <cfRule type="duplicateValues" dxfId="41" priority="125"/>
  </conditionalFormatting>
  <conditionalFormatting sqref="M39:O40">
    <cfRule type="duplicateValues" dxfId="40" priority="117"/>
  </conditionalFormatting>
  <conditionalFormatting sqref="M42:O43">
    <cfRule type="duplicateValues" dxfId="39" priority="287"/>
  </conditionalFormatting>
  <conditionalFormatting sqref="M44:O45">
    <cfRule type="duplicateValues" dxfId="38" priority="285"/>
  </conditionalFormatting>
  <conditionalFormatting sqref="M46:O47">
    <cfRule type="duplicateValues" dxfId="37" priority="283"/>
  </conditionalFormatting>
  <conditionalFormatting sqref="M48:O49">
    <cfRule type="duplicateValues" dxfId="36" priority="247"/>
  </conditionalFormatting>
  <conditionalFormatting sqref="M50:O51">
    <cfRule type="duplicateValues" dxfId="35" priority="279"/>
  </conditionalFormatting>
  <conditionalFormatting sqref="M52:O53">
    <cfRule type="duplicateValues" dxfId="34" priority="115"/>
  </conditionalFormatting>
  <conditionalFormatting sqref="M54:O55">
    <cfRule type="duplicateValues" dxfId="33" priority="281"/>
  </conditionalFormatting>
  <conditionalFormatting sqref="M56:O57">
    <cfRule type="duplicateValues" dxfId="32" priority="273"/>
  </conditionalFormatting>
  <conditionalFormatting sqref="M58:O59">
    <cfRule type="duplicateValues" dxfId="31" priority="292"/>
  </conditionalFormatting>
  <conditionalFormatting sqref="M61:O62">
    <cfRule type="duplicateValues" dxfId="30" priority="275"/>
  </conditionalFormatting>
  <conditionalFormatting sqref="M63:O64">
    <cfRule type="duplicateValues" dxfId="29" priority="277"/>
  </conditionalFormatting>
  <conditionalFormatting sqref="M65:O66">
    <cfRule type="duplicateValues" dxfId="28" priority="113"/>
  </conditionalFormatting>
  <conditionalFormatting sqref="M70:O71">
    <cfRule type="duplicateValues" dxfId="27" priority="101"/>
  </conditionalFormatting>
  <conditionalFormatting sqref="M73:O74 M76:O77">
    <cfRule type="duplicateValues" dxfId="26" priority="96"/>
  </conditionalFormatting>
  <conditionalFormatting sqref="M5:Q5 M6:O6">
    <cfRule type="duplicateValues" dxfId="25" priority="105"/>
  </conditionalFormatting>
  <conditionalFormatting sqref="M17:Q17 T17:U19 X17:Y17">
    <cfRule type="duplicateValues" dxfId="24" priority="289"/>
  </conditionalFormatting>
  <conditionalFormatting sqref="M35:Q35">
    <cfRule type="duplicateValues" dxfId="23" priority="134"/>
  </conditionalFormatting>
  <conditionalFormatting sqref="M68:Q68 S68:Y68">
    <cfRule type="duplicateValues" dxfId="22" priority="111"/>
  </conditionalFormatting>
  <conditionalFormatting sqref="N3">
    <cfRule type="duplicateValues" dxfId="21" priority="92"/>
  </conditionalFormatting>
  <conditionalFormatting sqref="N79">
    <cfRule type="duplicateValues" dxfId="20" priority="1"/>
  </conditionalFormatting>
  <conditionalFormatting sqref="O79">
    <cfRule type="duplicateValues" dxfId="19" priority="2"/>
  </conditionalFormatting>
  <conditionalFormatting sqref="P8:Q8">
    <cfRule type="duplicateValues" dxfId="18" priority="21"/>
  </conditionalFormatting>
  <conditionalFormatting sqref="P10:Q10 P12:Q12 P14:Q14">
    <cfRule type="duplicateValues" dxfId="17" priority="20"/>
  </conditionalFormatting>
  <conditionalFormatting sqref="P18:Q18">
    <cfRule type="duplicateValues" dxfId="16" priority="19"/>
  </conditionalFormatting>
  <conditionalFormatting sqref="P21:Q21">
    <cfRule type="duplicateValues" dxfId="15" priority="18"/>
  </conditionalFormatting>
  <conditionalFormatting sqref="P24:Q24">
    <cfRule type="duplicateValues" dxfId="14" priority="17"/>
  </conditionalFormatting>
  <conditionalFormatting sqref="P26:Q26">
    <cfRule type="duplicateValues" dxfId="13" priority="16"/>
  </conditionalFormatting>
  <conditionalFormatting sqref="P29:Q29">
    <cfRule type="duplicateValues" dxfId="12" priority="15"/>
  </conditionalFormatting>
  <conditionalFormatting sqref="P32:Q32">
    <cfRule type="duplicateValues" dxfId="11" priority="14"/>
  </conditionalFormatting>
  <conditionalFormatting sqref="P37:Q37">
    <cfRule type="duplicateValues" dxfId="10" priority="13"/>
  </conditionalFormatting>
  <conditionalFormatting sqref="P39:Q39">
    <cfRule type="duplicateValues" dxfId="9" priority="12"/>
  </conditionalFormatting>
  <conditionalFormatting sqref="P42:Q42">
    <cfRule type="duplicateValues" dxfId="8" priority="11"/>
  </conditionalFormatting>
  <conditionalFormatting sqref="P44:Q44">
    <cfRule type="duplicateValues" dxfId="7" priority="10"/>
  </conditionalFormatting>
  <conditionalFormatting sqref="P46:Q46">
    <cfRule type="duplicateValues" dxfId="6" priority="9"/>
  </conditionalFormatting>
  <conditionalFormatting sqref="P48:Q48">
    <cfRule type="duplicateValues" dxfId="5" priority="8"/>
  </conditionalFormatting>
  <conditionalFormatting sqref="P50:Q50 P52:Q52 P54:Q54 P56:Q56 P58:Q58">
    <cfRule type="duplicateValues" dxfId="4" priority="7"/>
  </conditionalFormatting>
  <conditionalFormatting sqref="P61:Q61 P63:Q63 P65:Q65">
    <cfRule type="duplicateValues" dxfId="3" priority="6"/>
  </conditionalFormatting>
  <conditionalFormatting sqref="P70:Q70">
    <cfRule type="duplicateValues" dxfId="2" priority="5"/>
  </conditionalFormatting>
  <conditionalFormatting sqref="P73:Q73">
    <cfRule type="duplicateValues" dxfId="1" priority="4"/>
  </conditionalFormatting>
  <conditionalFormatting sqref="P76:Q76">
    <cfRule type="duplicateValues" dxfId="0" priority="3"/>
  </conditionalFormatting>
  <pageMargins left="0.35433070866141736" right="0.23622047244094491" top="0.31496062992125984" bottom="0.31496062992125984" header="0.19685039370078741" footer="0.19685039370078741"/>
  <pageSetup paperSize="9" scale="70" orientation="landscape" r:id="rId1"/>
  <headerFooter>
    <oddHeader>&amp;R&amp;11Page &amp;P of &amp;N</oddHeader>
  </headerFooter>
  <rowBreaks count="2" manualBreakCount="2">
    <brk id="27" max="16383" man="1"/>
    <brk id="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Received List</vt:lpstr>
      <vt:lpstr>Results List - Various</vt:lpstr>
      <vt:lpstr>Results List - PS2</vt:lpstr>
      <vt:lpstr>Results List - Halul &amp; PS3</vt:lpstr>
      <vt:lpstr>Results List - PS4</vt:lpstr>
      <vt:lpstr>Results List - PS1</vt:lpstr>
      <vt:lpstr>'Results List - PS4'!Print_Area</vt:lpstr>
      <vt:lpstr>'Results List - Various'!Print_Area</vt:lpstr>
      <vt:lpstr>'Results List - PS1'!Print_Titles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Nazeer Corrosion Eng</dc:creator>
  <cp:lastModifiedBy>Christian Randell Arro</cp:lastModifiedBy>
  <cp:lastPrinted>2025-10-21T07:51:23Z</cp:lastPrinted>
  <dcterms:created xsi:type="dcterms:W3CDTF">2025-07-27T09:01:57Z</dcterms:created>
  <dcterms:modified xsi:type="dcterms:W3CDTF">2025-12-02T17:53:00Z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2023-09-19T00:00:00Z</vt:filetime>
  </property>
  <property fmtid="{D5CDD505-2E9C-101B-9397-08002B2CF9AE}" pid="3" name="Creator">
    <vt:lpwstr>Microsoft® Excel® for Microsoft 365</vt:lpwstr>
  </property>
  <property fmtid="{D5CDD505-2E9C-101B-9397-08002B2CF9AE}" pid="4" name="LastSaved">
    <vt:filetime>2025-07-27T00:00:00Z</vt:filetime>
  </property>
  <property fmtid="{D5CDD505-2E9C-101B-9397-08002B2CF9AE}" pid="5" name="Producer">
    <vt:lpwstr>Microsoft® Excel® for Microsoft 365</vt:lpwstr>
  </property>
</Properties>
</file>